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Projet VBA Final\"/>
    </mc:Choice>
  </mc:AlternateContent>
  <xr:revisionPtr revIDLastSave="0" documentId="13_ncr:1_{965F1BC8-48E5-4519-A7AB-7AD2146E5342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Menu" sheetId="1" r:id="rId1"/>
    <sheet name="Livre de paie" sheetId="3" r:id="rId2"/>
    <sheet name="Ecritures comptables" sheetId="7" r:id="rId3"/>
    <sheet name="Bulletin de salaire" sheetId="9" r:id="rId4"/>
    <sheet name="Sexe" sheetId="10" state="hidden" r:id="rId5"/>
    <sheet name="Categorie" sheetId="11" state="hidden" r:id="rId6"/>
    <sheet name="Etat" sheetId="12" state="hidden" r:id="rId7"/>
    <sheet name="Regime" sheetId="13" state="hidden" r:id="rId8"/>
    <sheet name="Tableau de bords" sheetId="14" r:id="rId9"/>
  </sheets>
  <calcPr calcId="191029"/>
  <customWorkbookViews>
    <customWorkbookView name="impression" guid="{625BDD88-EAB4-4420-915B-3E9C847A7C67}" includeHiddenRowCol="0" maximized="1" xWindow="-8" yWindow="-8" windowWidth="1382" windowHeight="744" activeSheetId="9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" i="3" l="1"/>
  <c r="L2" i="3"/>
  <c r="J2" i="3"/>
</calcChain>
</file>

<file path=xl/sharedStrings.xml><?xml version="1.0" encoding="utf-8"?>
<sst xmlns="http://schemas.openxmlformats.org/spreadsheetml/2006/main" count="527" uniqueCount="311">
  <si>
    <t>Sursalaire</t>
  </si>
  <si>
    <t>Avantage</t>
  </si>
  <si>
    <t>IPM</t>
  </si>
  <si>
    <t>Opposition</t>
  </si>
  <si>
    <t>GESTION DE PAIE DES SALARIES</t>
  </si>
  <si>
    <t>A</t>
  </si>
  <si>
    <t>Nom:</t>
  </si>
  <si>
    <t>Sexe:</t>
  </si>
  <si>
    <t>Catégorie:</t>
  </si>
  <si>
    <t>Etat Civil:</t>
  </si>
  <si>
    <t>Nombre d'épouse(s):</t>
  </si>
  <si>
    <t>Nombre d'enfant(s):</t>
  </si>
  <si>
    <t>Régime:</t>
  </si>
  <si>
    <t>Salaire de base</t>
  </si>
  <si>
    <t>Heure supplémentaire à 15%</t>
  </si>
  <si>
    <t>Heure supplémentaire à 40%</t>
  </si>
  <si>
    <t>Heure supplémentaire à 60%</t>
  </si>
  <si>
    <t>Heure supplémentaire à 100%</t>
  </si>
  <si>
    <t>Prime imposable</t>
  </si>
  <si>
    <t>Prime non imposable</t>
  </si>
  <si>
    <t>Salaire brut social</t>
  </si>
  <si>
    <t>Salaire brut fiscal</t>
  </si>
  <si>
    <t>Régime général</t>
  </si>
  <si>
    <t>Régime cadre</t>
  </si>
  <si>
    <t>TRIMF</t>
  </si>
  <si>
    <t>IR</t>
  </si>
  <si>
    <t>Avance et Acompte</t>
  </si>
  <si>
    <t>Total des Retenues</t>
  </si>
  <si>
    <t>Retenues</t>
  </si>
  <si>
    <t>Salaire Net</t>
  </si>
  <si>
    <t>Net à payer</t>
  </si>
  <si>
    <t>Intitulé du compte</t>
  </si>
  <si>
    <t>Montant débité</t>
  </si>
  <si>
    <t>Montant crédité</t>
  </si>
  <si>
    <t>Numéro de compte débité</t>
  </si>
  <si>
    <t>Numéro de compte crédité</t>
  </si>
  <si>
    <t>Total</t>
  </si>
  <si>
    <t>Banque</t>
  </si>
  <si>
    <t>Rénumération directe versée</t>
  </si>
  <si>
    <t>Indemnité forfaitaire</t>
  </si>
  <si>
    <t>Personnel rénumérations dues</t>
  </si>
  <si>
    <t>Retraite obligatoire</t>
  </si>
  <si>
    <t>Retraite facultative</t>
  </si>
  <si>
    <t>Mutuelle de santé</t>
  </si>
  <si>
    <t>Pour faire valoir vos droits,conservez ce bulletin sans limitation de durée</t>
  </si>
  <si>
    <t>Age:</t>
  </si>
  <si>
    <t>Cadre</t>
  </si>
  <si>
    <t>Masculin</t>
  </si>
  <si>
    <t>Féminin</t>
  </si>
  <si>
    <t>B</t>
  </si>
  <si>
    <t>C</t>
  </si>
  <si>
    <t>Célibataire</t>
  </si>
  <si>
    <t>Marié(e)</t>
  </si>
  <si>
    <t>Veuf(ve)</t>
  </si>
  <si>
    <t>Divorcé(e)</t>
  </si>
  <si>
    <t>Général</t>
  </si>
  <si>
    <t>FAYE</t>
  </si>
  <si>
    <t>N°</t>
  </si>
  <si>
    <t>Maticule</t>
  </si>
  <si>
    <t>Prénom</t>
  </si>
  <si>
    <t>Nom</t>
  </si>
  <si>
    <t>Date Nais</t>
  </si>
  <si>
    <t>Lieu Nais</t>
  </si>
  <si>
    <t>Sexe</t>
  </si>
  <si>
    <t>Etat_Civil</t>
  </si>
  <si>
    <t>Catégorie</t>
  </si>
  <si>
    <t>Nb_epouse</t>
  </si>
  <si>
    <t>Nb_enfant</t>
  </si>
  <si>
    <t>H_Supp_15</t>
  </si>
  <si>
    <t>H_Supp_40</t>
  </si>
  <si>
    <t>H_Supp_60</t>
  </si>
  <si>
    <t>H_Supp_100</t>
  </si>
  <si>
    <t>Prime</t>
  </si>
  <si>
    <t>Indemnité</t>
  </si>
  <si>
    <t>Avance_Ac</t>
  </si>
  <si>
    <t>1231-BA/B</t>
  </si>
  <si>
    <t>ADAMA</t>
  </si>
  <si>
    <t>BA</t>
  </si>
  <si>
    <t>DAKAR</t>
  </si>
  <si>
    <t>M</t>
  </si>
  <si>
    <t>4500</t>
  </si>
  <si>
    <t>1232-BAMPASSY/B</t>
  </si>
  <si>
    <t>ALEX</t>
  </si>
  <si>
    <t>BAMPASSY</t>
  </si>
  <si>
    <t>26/10/1975</t>
  </si>
  <si>
    <t>TAMBA</t>
  </si>
  <si>
    <t>1233-BEYE/B</t>
  </si>
  <si>
    <t>ALA</t>
  </si>
  <si>
    <t>BEYE</t>
  </si>
  <si>
    <t>17/10/1982</t>
  </si>
  <si>
    <t>GOUDYRY</t>
  </si>
  <si>
    <t>5000</t>
  </si>
  <si>
    <t>1234-BOYE/C</t>
  </si>
  <si>
    <t>MEDOUNE</t>
  </si>
  <si>
    <t>BOYE</t>
  </si>
  <si>
    <t>22/02/1980</t>
  </si>
  <si>
    <t>FATICK</t>
  </si>
  <si>
    <t>1235-CISSE/C</t>
  </si>
  <si>
    <t>LAHAD</t>
  </si>
  <si>
    <t>CISSE</t>
  </si>
  <si>
    <t>17/04/1983</t>
  </si>
  <si>
    <t>GUEDIAWAY</t>
  </si>
  <si>
    <t>3500</t>
  </si>
  <si>
    <t>1236-DEME/C</t>
  </si>
  <si>
    <t>FARY</t>
  </si>
  <si>
    <t>DEME</t>
  </si>
  <si>
    <t>RANEROU</t>
  </si>
  <si>
    <t>2500</t>
  </si>
  <si>
    <t>DIAGNE</t>
  </si>
  <si>
    <t>31/01/1982</t>
  </si>
  <si>
    <t>PIKINE</t>
  </si>
  <si>
    <t>F</t>
  </si>
  <si>
    <t>4567-DIAGNE/A</t>
  </si>
  <si>
    <t>BOMBE</t>
  </si>
  <si>
    <t>45678-DIALLO/A</t>
  </si>
  <si>
    <t>YACINE</t>
  </si>
  <si>
    <t>DIALLO</t>
  </si>
  <si>
    <t>17/10/1975</t>
  </si>
  <si>
    <t>3000</t>
  </si>
  <si>
    <t>1239-DIALLO/A</t>
  </si>
  <si>
    <t>ALIOUNE NDIAYE</t>
  </si>
  <si>
    <t>12310-DIAME/A</t>
  </si>
  <si>
    <t>KARIM ABDEL</t>
  </si>
  <si>
    <t>DIAME</t>
  </si>
  <si>
    <t>BANJUL</t>
  </si>
  <si>
    <t>45611-DIAO/B</t>
  </si>
  <si>
    <t>AISSATOU SECK</t>
  </si>
  <si>
    <t>DIAO</t>
  </si>
  <si>
    <t>26/08/1977</t>
  </si>
  <si>
    <t>ZIGUINCHOR</t>
  </si>
  <si>
    <t>12312-DIATTA/B</t>
  </si>
  <si>
    <t>LEON</t>
  </si>
  <si>
    <t>DIATTA</t>
  </si>
  <si>
    <t>19/07/1979</t>
  </si>
  <si>
    <t>OUSSOUYE</t>
  </si>
  <si>
    <t>45613-DIAW/B</t>
  </si>
  <si>
    <t>AWA</t>
  </si>
  <si>
    <t>DIAW</t>
  </si>
  <si>
    <t>30/09/1982</t>
  </si>
  <si>
    <t>DIOURBEL</t>
  </si>
  <si>
    <t>12314-DIOP/C</t>
  </si>
  <si>
    <t>HABIB</t>
  </si>
  <si>
    <t>DIOP</t>
  </si>
  <si>
    <t>17/09/1985</t>
  </si>
  <si>
    <t>BAMBEY</t>
  </si>
  <si>
    <t>12315-DIOP/C</t>
  </si>
  <si>
    <t>BABACAR</t>
  </si>
  <si>
    <t>19/03/1984</t>
  </si>
  <si>
    <t>12316-DIOUF/C</t>
  </si>
  <si>
    <t>MODOU</t>
  </si>
  <si>
    <t>DIOUF</t>
  </si>
  <si>
    <t>14/04/1978</t>
  </si>
  <si>
    <t>KAFFRINE</t>
  </si>
  <si>
    <t>12317-DIOUF/C</t>
  </si>
  <si>
    <t>HENRY</t>
  </si>
  <si>
    <t>27/01/1977</t>
  </si>
  <si>
    <t>LOMPOUL</t>
  </si>
  <si>
    <t>12318-DIOUM/A</t>
  </si>
  <si>
    <t>ASSANE</t>
  </si>
  <si>
    <t>DIOUM</t>
  </si>
  <si>
    <t>16/05/1982</t>
  </si>
  <si>
    <t>MBOUR</t>
  </si>
  <si>
    <t>12319-FALL/C</t>
  </si>
  <si>
    <t>SENGANE</t>
  </si>
  <si>
    <t>FALL</t>
  </si>
  <si>
    <t>31/10/1984</t>
  </si>
  <si>
    <t>JOAL</t>
  </si>
  <si>
    <t>12320-FALL/B</t>
  </si>
  <si>
    <t>LAMINE</t>
  </si>
  <si>
    <t>28/11/1977</t>
  </si>
  <si>
    <t>YOFF</t>
  </si>
  <si>
    <t>12321-FAYE/B</t>
  </si>
  <si>
    <t>MOUHAMED</t>
  </si>
  <si>
    <t>RUFISQUE</t>
  </si>
  <si>
    <t>45622-FAYE/B</t>
  </si>
  <si>
    <t>NDIAYA</t>
  </si>
  <si>
    <t>SAINT-LOUIS</t>
  </si>
  <si>
    <t>12323-GNING/C</t>
  </si>
  <si>
    <t>DAME</t>
  </si>
  <si>
    <t>GNING</t>
  </si>
  <si>
    <t>TOUBA</t>
  </si>
  <si>
    <t>12324-GUEYE/C</t>
  </si>
  <si>
    <t>BOUBA</t>
  </si>
  <si>
    <t>GUEYE</t>
  </si>
  <si>
    <t>27/10/1979</t>
  </si>
  <si>
    <t>SEDHIOU</t>
  </si>
  <si>
    <t>45625-GUEYE/C</t>
  </si>
  <si>
    <t>KINE</t>
  </si>
  <si>
    <t>AERE LAO</t>
  </si>
  <si>
    <t>12326-KANDJI/C</t>
  </si>
  <si>
    <t>MADIOP</t>
  </si>
  <si>
    <t>KANDJI</t>
  </si>
  <si>
    <t>27/07/1985</t>
  </si>
  <si>
    <t>KEDOUGOU</t>
  </si>
  <si>
    <t>12327-KARE/A</t>
  </si>
  <si>
    <t>KARE</t>
  </si>
  <si>
    <t>18/11/1985</t>
  </si>
  <si>
    <t>BAKEL</t>
  </si>
  <si>
    <t>12328-KEBE/B</t>
  </si>
  <si>
    <t>THOMAS</t>
  </si>
  <si>
    <t>KEBE</t>
  </si>
  <si>
    <t>LOUGA</t>
  </si>
  <si>
    <t>45629-LAM/A</t>
  </si>
  <si>
    <t>AMY</t>
  </si>
  <si>
    <t>LAM</t>
  </si>
  <si>
    <t>TIVAOUANE</t>
  </si>
  <si>
    <t>12330-LO/A</t>
  </si>
  <si>
    <t>MOUSTAPHA DIOP</t>
  </si>
  <si>
    <t>LO</t>
  </si>
  <si>
    <t>21/12/1978</t>
  </si>
  <si>
    <t>LINGUERE</t>
  </si>
  <si>
    <t>12331-LY/A</t>
  </si>
  <si>
    <t>ABDOULAYE MASSECK</t>
  </si>
  <si>
    <t>LY</t>
  </si>
  <si>
    <t>LAMBAYE</t>
  </si>
  <si>
    <t>12331-MBAYE/B</t>
  </si>
  <si>
    <t>ABDOU</t>
  </si>
  <si>
    <t>KOLDA</t>
  </si>
  <si>
    <t>12333-MBENGUE/B</t>
  </si>
  <si>
    <t>KARIM</t>
  </si>
  <si>
    <t>MBENGUE</t>
  </si>
  <si>
    <t>KAOLACK</t>
  </si>
  <si>
    <t>45633-NDIAYE/B</t>
  </si>
  <si>
    <t>FATIM</t>
  </si>
  <si>
    <t>NDIAYE</t>
  </si>
  <si>
    <t>VELINGARA</t>
  </si>
  <si>
    <t>12335-NGOM/B</t>
  </si>
  <si>
    <t>YOUSSOU</t>
  </si>
  <si>
    <t>NGOM</t>
  </si>
  <si>
    <t>16/08/1982</t>
  </si>
  <si>
    <t>OUAKAM</t>
  </si>
  <si>
    <t>12336-PREIRA/B</t>
  </si>
  <si>
    <t>FRANCOIS</t>
  </si>
  <si>
    <t>PREIRA</t>
  </si>
  <si>
    <t>20/06/1977</t>
  </si>
  <si>
    <t>PARIS</t>
  </si>
  <si>
    <t>12337-SAGNA/C</t>
  </si>
  <si>
    <t>MBAYE</t>
  </si>
  <si>
    <t>SAGNA</t>
  </si>
  <si>
    <t>12338-SAGNA/A</t>
  </si>
  <si>
    <t>FREDERIC</t>
  </si>
  <si>
    <t>24/03/1976</t>
  </si>
  <si>
    <t>45639-SAMB/C</t>
  </si>
  <si>
    <t>ALIMATOU</t>
  </si>
  <si>
    <t>SAMB</t>
  </si>
  <si>
    <t>19/10/1976</t>
  </si>
  <si>
    <t>45640-SAMB/C</t>
  </si>
  <si>
    <t>DIARRY</t>
  </si>
  <si>
    <t>16/05/1981</t>
  </si>
  <si>
    <t>12341-SARR/A</t>
  </si>
  <si>
    <t>OMAR</t>
  </si>
  <si>
    <t>SARR</t>
  </si>
  <si>
    <t>29/08/1977</t>
  </si>
  <si>
    <t>12342-SECK/C</t>
  </si>
  <si>
    <t>MAURY</t>
  </si>
  <si>
    <t>SECK</t>
  </si>
  <si>
    <t>19/04/1977</t>
  </si>
  <si>
    <t>THIES</t>
  </si>
  <si>
    <t>12343-SENE/C</t>
  </si>
  <si>
    <t>IBRAHIMA</t>
  </si>
  <si>
    <t>SENE</t>
  </si>
  <si>
    <t>18/06/1979</t>
  </si>
  <si>
    <t>MBACKE</t>
  </si>
  <si>
    <t>12344-SEYDI/B</t>
  </si>
  <si>
    <t>MOUSSA</t>
  </si>
  <si>
    <t>SEYDI</t>
  </si>
  <si>
    <t>45645-SOW/B</t>
  </si>
  <si>
    <t>KHADY</t>
  </si>
  <si>
    <t>SOW</t>
  </si>
  <si>
    <t>23/03/1984</t>
  </si>
  <si>
    <t>CAS CAS</t>
  </si>
  <si>
    <t>12346-SY/B</t>
  </si>
  <si>
    <t>ALPHA</t>
  </si>
  <si>
    <t>SY</t>
  </si>
  <si>
    <t>29/11/1984</t>
  </si>
  <si>
    <t>12347-TALL/B</t>
  </si>
  <si>
    <t>MOUSTAPHA</t>
  </si>
  <si>
    <t>TALL</t>
  </si>
  <si>
    <t>19/07/1976</t>
  </si>
  <si>
    <t>45648-TALL/B</t>
  </si>
  <si>
    <t>NDEYE</t>
  </si>
  <si>
    <t>29/07/1985</t>
  </si>
  <si>
    <t>12349-TAVARES/B</t>
  </si>
  <si>
    <t>PHILIPPE MODOU</t>
  </si>
  <si>
    <t>TAVARES</t>
  </si>
  <si>
    <t>23/04/1985</t>
  </si>
  <si>
    <t>12350-THIAM/B</t>
  </si>
  <si>
    <t>KHADIM</t>
  </si>
  <si>
    <t>THIAM</t>
  </si>
  <si>
    <t>21/12/1981</t>
  </si>
  <si>
    <t>Matricule:</t>
  </si>
  <si>
    <t>Employés</t>
  </si>
  <si>
    <t>SBS</t>
  </si>
  <si>
    <t>RG</t>
  </si>
  <si>
    <t>Sal_Net</t>
  </si>
  <si>
    <t>RC</t>
  </si>
  <si>
    <t>HABIB FAYE</t>
  </si>
  <si>
    <t>MATY SEYE</t>
  </si>
  <si>
    <t>Date de Naissance:</t>
  </si>
  <si>
    <t>Lieu de Naissance:</t>
  </si>
  <si>
    <t>Prénom:</t>
  </si>
  <si>
    <t>du</t>
  </si>
  <si>
    <t>BULLETIN DE SALAIRE</t>
  </si>
  <si>
    <t>au</t>
  </si>
  <si>
    <t>Net à Payer</t>
  </si>
  <si>
    <t>Etat,Impôts retenues à la source</t>
  </si>
  <si>
    <t>WADE</t>
  </si>
  <si>
    <t>sebikotane</t>
  </si>
  <si>
    <t>26ans</t>
  </si>
  <si>
    <t>AWA WADE</t>
  </si>
  <si>
    <t>1234-WADE/C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</si>
</sst>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13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2"/>
      <name val="Times New Roman"/>
      <family val="1"/>
    </font>
    <font>
      <b/>
      <sz val="12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b/>
      <sz val="28"/>
      <color rgb="FF9C5700"/>
      <name val="Rockwell Extra Bold"/>
      <family val="1"/>
    </font>
    <font>
      <b/>
      <sz val="28"/>
      <color theme="0" tint="-0.14999847407452621"/>
      <name val="Snap ITC"/>
      <family val="5"/>
    </font>
    <font>
      <sz val="11"/>
      <name val="Calibri"/>
      <family val="2"/>
      <scheme val="minor"/>
    </font>
    <font>
      <b/>
      <sz val="14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4" borderId="2" applyNumberFormat="0" applyAlignment="0" applyProtection="0"/>
    <xf numFmtId="44" fontId="7" fillId="0" borderId="0" applyFont="0" applyFill="0" applyBorder="0" applyAlignment="0" applyProtection="0"/>
  </cellStyleXfs>
  <cellXfs count="118">
    <xf numFmtId="0" fontId="0" fillId="0" borderId="0" xfId="0"/>
    <xf numFmtId="0" fontId="1" fillId="3" borderId="0" xfId="1" applyFill="1"/>
    <xf numFmtId="0" fontId="3" fillId="3" borderId="2" xfId="2" applyFont="1" applyFill="1" applyAlignment="1">
      <alignment horizontal="center"/>
    </xf>
    <xf numFmtId="0" fontId="3" fillId="3" borderId="3" xfId="2" applyFont="1" applyFill="1" applyBorder="1" applyAlignment="1">
      <alignment horizontal="center"/>
    </xf>
    <xf numFmtId="0" fontId="3" fillId="3" borderId="4" xfId="2" applyFont="1" applyFill="1" applyBorder="1" applyAlignment="1">
      <alignment horizontal="center"/>
    </xf>
    <xf numFmtId="0" fontId="3" fillId="3" borderId="1" xfId="2" applyFont="1" applyFill="1" applyBorder="1" applyAlignment="1">
      <alignment horizontal="center"/>
    </xf>
    <xf numFmtId="0" fontId="3" fillId="3" borderId="8" xfId="2" applyFont="1" applyFill="1" applyBorder="1" applyAlignment="1">
      <alignment horizontal="center"/>
    </xf>
    <xf numFmtId="0" fontId="3" fillId="3" borderId="9" xfId="2" applyFont="1" applyFill="1" applyBorder="1" applyAlignment="1">
      <alignment horizontal="center"/>
    </xf>
    <xf numFmtId="0" fontId="3" fillId="3" borderId="11" xfId="2" applyFont="1" applyFill="1" applyBorder="1" applyAlignment="1">
      <alignment horizontal="center"/>
    </xf>
    <xf numFmtId="0" fontId="3" fillId="3" borderId="12" xfId="2" applyFont="1" applyFill="1" applyBorder="1" applyAlignment="1">
      <alignment horizontal="center"/>
    </xf>
    <xf numFmtId="0" fontId="3" fillId="3" borderId="14" xfId="2" applyFont="1" applyFill="1" applyBorder="1" applyAlignment="1">
      <alignment horizontal="center"/>
    </xf>
    <xf numFmtId="0" fontId="3" fillId="3" borderId="9" xfId="2" applyFont="1" applyFill="1" applyBorder="1" applyAlignment="1">
      <alignment horizontal="left"/>
    </xf>
    <xf numFmtId="0" fontId="3" fillId="3" borderId="12" xfId="2" applyFont="1" applyFill="1" applyBorder="1" applyAlignment="1">
      <alignment horizontal="right"/>
    </xf>
    <xf numFmtId="0" fontId="3" fillId="3" borderId="1" xfId="2" applyFont="1" applyFill="1" applyBorder="1" applyAlignment="1">
      <alignment horizontal="left"/>
    </xf>
    <xf numFmtId="0" fontId="3" fillId="3" borderId="1" xfId="2" applyFont="1" applyFill="1" applyBorder="1" applyAlignment="1">
      <alignment horizontal="right"/>
    </xf>
    <xf numFmtId="0" fontId="3" fillId="3" borderId="12" xfId="2" applyFont="1" applyFill="1" applyBorder="1" applyAlignment="1">
      <alignment horizontal="left"/>
    </xf>
    <xf numFmtId="1" fontId="6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NumberFormat="1" applyFont="1" applyAlignment="1">
      <alignment horizontal="center"/>
    </xf>
    <xf numFmtId="1" fontId="5" fillId="0" borderId="0" xfId="3" applyNumberFormat="1" applyFont="1" applyAlignment="1">
      <alignment horizontal="left"/>
    </xf>
    <xf numFmtId="0" fontId="1" fillId="5" borderId="0" xfId="1" applyFill="1"/>
    <xf numFmtId="0" fontId="0" fillId="5" borderId="0" xfId="0" applyFill="1"/>
    <xf numFmtId="0" fontId="9" fillId="6" borderId="0" xfId="1" applyFont="1" applyFill="1"/>
    <xf numFmtId="0" fontId="8" fillId="3" borderId="1" xfId="2" applyNumberFormat="1" applyFont="1" applyFill="1" applyBorder="1" applyAlignment="1">
      <alignment horizontal="center"/>
    </xf>
    <xf numFmtId="1" fontId="8" fillId="3" borderId="1" xfId="2" applyNumberFormat="1" applyFont="1" applyFill="1" applyBorder="1" applyAlignment="1">
      <alignment horizontal="center"/>
    </xf>
    <xf numFmtId="1" fontId="8" fillId="3" borderId="1" xfId="2" applyNumberFormat="1" applyFont="1" applyFill="1" applyBorder="1" applyAlignment="1"/>
    <xf numFmtId="14" fontId="8" fillId="3" borderId="1" xfId="2" applyNumberFormat="1" applyFont="1" applyFill="1" applyBorder="1" applyAlignment="1">
      <alignment horizontal="center"/>
    </xf>
    <xf numFmtId="14" fontId="5" fillId="0" borderId="0" xfId="0" applyNumberFormat="1" applyFont="1" applyAlignment="1">
      <alignment horizontal="center"/>
    </xf>
    <xf numFmtId="0" fontId="3" fillId="3" borderId="2" xfId="2" applyFont="1" applyFill="1" applyAlignment="1">
      <alignment horizontal="left"/>
    </xf>
    <xf numFmtId="1" fontId="3" fillId="3" borderId="9" xfId="2" applyNumberFormat="1" applyFont="1" applyFill="1" applyBorder="1" applyAlignment="1">
      <alignment horizontal="center"/>
    </xf>
    <xf numFmtId="0" fontId="5" fillId="0" borderId="0" xfId="0" applyFont="1" applyProtection="1">
      <protection locked="0"/>
    </xf>
    <xf numFmtId="0" fontId="5" fillId="0" borderId="0" xfId="0" applyFont="1" applyProtection="1"/>
    <xf numFmtId="1" fontId="3" fillId="3" borderId="2" xfId="2" applyNumberFormat="1" applyFont="1" applyFill="1" applyAlignment="1">
      <alignment horizontal="center" vertical="top"/>
    </xf>
    <xf numFmtId="0" fontId="3" fillId="0" borderId="18" xfId="0" applyFont="1" applyBorder="1" applyProtection="1"/>
    <xf numFmtId="0" fontId="3" fillId="0" borderId="21" xfId="0" applyFont="1" applyBorder="1" applyProtection="1"/>
    <xf numFmtId="0" fontId="3" fillId="0" borderId="0" xfId="0" applyFont="1" applyBorder="1" applyProtection="1"/>
    <xf numFmtId="0" fontId="3" fillId="0" borderId="26" xfId="0" applyFont="1" applyBorder="1" applyProtection="1"/>
    <xf numFmtId="0" fontId="4" fillId="0" borderId="18" xfId="0" applyFont="1" applyBorder="1" applyProtection="1"/>
    <xf numFmtId="0" fontId="4" fillId="0" borderId="21" xfId="0" applyFont="1" applyBorder="1" applyProtection="1"/>
    <xf numFmtId="0" fontId="11" fillId="0" borderId="0" xfId="0" applyFont="1"/>
    <xf numFmtId="0" fontId="3" fillId="0" borderId="0" xfId="0" applyFont="1" applyProtection="1">
      <protection locked="0"/>
    </xf>
    <xf numFmtId="0" fontId="4" fillId="0" borderId="26" xfId="0" applyFont="1" applyBorder="1" applyProtection="1">
      <protection locked="0"/>
    </xf>
    <xf numFmtId="0" fontId="3" fillId="0" borderId="21" xfId="0" applyFont="1" applyBorder="1" applyAlignment="1" applyProtection="1">
      <alignment horizontal="left"/>
      <protection locked="0"/>
    </xf>
    <xf numFmtId="0" fontId="3" fillId="0" borderId="0" xfId="0" applyFont="1" applyBorder="1" applyProtection="1">
      <protection locked="0"/>
    </xf>
    <xf numFmtId="14" fontId="3" fillId="0" borderId="0" xfId="0" applyNumberFormat="1" applyFont="1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left"/>
      <protection locked="0"/>
    </xf>
    <xf numFmtId="0" fontId="3" fillId="0" borderId="26" xfId="0" applyFont="1" applyBorder="1" applyProtection="1">
      <protection locked="0"/>
    </xf>
    <xf numFmtId="0" fontId="3" fillId="0" borderId="18" xfId="0" applyFont="1" applyBorder="1" applyProtection="1">
      <protection locked="0"/>
    </xf>
    <xf numFmtId="0" fontId="3" fillId="0" borderId="21" xfId="0" applyFont="1" applyBorder="1" applyProtection="1">
      <protection locked="0"/>
    </xf>
    <xf numFmtId="0" fontId="4" fillId="0" borderId="18" xfId="0" applyFont="1" applyBorder="1" applyProtection="1">
      <protection locked="0"/>
    </xf>
    <xf numFmtId="0" fontId="3" fillId="0" borderId="20" xfId="0" applyFont="1" applyBorder="1" applyProtection="1">
      <protection locked="0"/>
    </xf>
    <xf numFmtId="0" fontId="3" fillId="0" borderId="23" xfId="0" applyFont="1" applyBorder="1" applyProtection="1">
      <protection locked="0"/>
    </xf>
    <xf numFmtId="0" fontId="3" fillId="0" borderId="25" xfId="0" applyFont="1" applyBorder="1" applyProtection="1">
      <protection locked="0"/>
    </xf>
    <xf numFmtId="0" fontId="12" fillId="0" borderId="18" xfId="0" applyFont="1" applyBorder="1" applyProtection="1">
      <protection locked="0"/>
    </xf>
    <xf numFmtId="0" fontId="3" fillId="0" borderId="19" xfId="0" applyFont="1" applyBorder="1" applyProtection="1">
      <protection locked="0"/>
    </xf>
    <xf numFmtId="0" fontId="3" fillId="0" borderId="22" xfId="0" applyFont="1" applyBorder="1" applyProtection="1">
      <protection locked="0"/>
    </xf>
    <xf numFmtId="0" fontId="3" fillId="0" borderId="24" xfId="0" applyFont="1" applyBorder="1" applyProtection="1">
      <protection locked="0"/>
    </xf>
    <xf numFmtId="0" fontId="3" fillId="0" borderId="27" xfId="0" applyFont="1" applyBorder="1" applyProtection="1">
      <protection locked="0"/>
    </xf>
    <xf numFmtId="0" fontId="4" fillId="0" borderId="19" xfId="0" applyFont="1" applyBorder="1" applyProtection="1">
      <protection locked="0"/>
    </xf>
    <xf numFmtId="0" fontId="3" fillId="0" borderId="0" xfId="0" applyFont="1" applyProtection="1"/>
    <xf numFmtId="0" fontId="3" fillId="0" borderId="17" xfId="0" applyFont="1" applyBorder="1" applyProtection="1"/>
    <xf numFmtId="0" fontId="3" fillId="0" borderId="20" xfId="0" applyFont="1" applyBorder="1" applyProtection="1"/>
    <xf numFmtId="0" fontId="3" fillId="0" borderId="23" xfId="0" applyFont="1" applyBorder="1" applyProtection="1"/>
    <xf numFmtId="0" fontId="4" fillId="0" borderId="17" xfId="0" applyFont="1" applyBorder="1" applyProtection="1"/>
    <xf numFmtId="0" fontId="3" fillId="0" borderId="25" xfId="0" applyFont="1" applyBorder="1" applyProtection="1"/>
    <xf numFmtId="0" fontId="4" fillId="0" borderId="20" xfId="0" applyFont="1" applyBorder="1" applyProtection="1"/>
    <xf numFmtId="14" fontId="3" fillId="0" borderId="0" xfId="0" applyNumberFormat="1" applyFont="1" applyBorder="1" applyAlignment="1" applyProtection="1">
      <alignment horizontal="center"/>
      <protection locked="0"/>
    </xf>
    <xf numFmtId="1" fontId="3" fillId="0" borderId="22" xfId="0" applyNumberFormat="1" applyFont="1" applyBorder="1" applyProtection="1">
      <protection locked="0"/>
    </xf>
    <xf numFmtId="1" fontId="3" fillId="0" borderId="24" xfId="0" applyNumberFormat="1" applyFont="1" applyBorder="1" applyProtection="1">
      <protection locked="0"/>
    </xf>
    <xf numFmtId="1" fontId="4" fillId="0" borderId="19" xfId="0" applyNumberFormat="1" applyFont="1" applyBorder="1" applyProtection="1">
      <protection locked="0"/>
    </xf>
    <xf numFmtId="1" fontId="3" fillId="0" borderId="27" xfId="0" applyNumberFormat="1" applyFont="1" applyBorder="1" applyProtection="1">
      <protection locked="0"/>
    </xf>
    <xf numFmtId="1" fontId="4" fillId="0" borderId="22" xfId="0" applyNumberFormat="1" applyFont="1" applyBorder="1" applyProtection="1">
      <protection locked="0"/>
    </xf>
    <xf numFmtId="1" fontId="3" fillId="0" borderId="21" xfId="0" applyNumberFormat="1" applyFont="1" applyBorder="1" applyProtection="1"/>
    <xf numFmtId="1" fontId="3" fillId="0" borderId="0" xfId="0" applyNumberFormat="1" applyFont="1" applyBorder="1" applyProtection="1"/>
    <xf numFmtId="1" fontId="4" fillId="0" borderId="18" xfId="0" applyNumberFormat="1" applyFont="1" applyBorder="1" applyProtection="1"/>
    <xf numFmtId="1" fontId="3" fillId="0" borderId="17" xfId="0" applyNumberFormat="1" applyFont="1" applyBorder="1" applyProtection="1"/>
    <xf numFmtId="1" fontId="4" fillId="0" borderId="17" xfId="0" applyNumberFormat="1" applyFont="1" applyBorder="1" applyProtection="1"/>
    <xf numFmtId="1" fontId="3" fillId="0" borderId="26" xfId="0" applyNumberFormat="1" applyFont="1" applyBorder="1" applyProtection="1"/>
    <xf numFmtId="1" fontId="4" fillId="0" borderId="21" xfId="0" applyNumberFormat="1" applyFont="1" applyBorder="1" applyProtection="1"/>
    <xf numFmtId="14" fontId="3" fillId="0" borderId="0" xfId="0" applyNumberFormat="1" applyFont="1" applyBorder="1" applyProtection="1">
      <protection locked="0"/>
    </xf>
    <xf numFmtId="1" fontId="3" fillId="0" borderId="21" xfId="0" applyNumberFormat="1" applyFont="1" applyBorder="1" applyProtection="1">
      <protection locked="0"/>
    </xf>
    <xf numFmtId="1" fontId="3" fillId="0" borderId="0" xfId="0" applyNumberFormat="1" applyFont="1" applyBorder="1" applyProtection="1">
      <protection locked="0"/>
    </xf>
    <xf numFmtId="1" fontId="4" fillId="0" borderId="18" xfId="0" applyNumberFormat="1" applyFont="1" applyBorder="1" applyProtection="1">
      <protection locked="0"/>
    </xf>
    <xf numFmtId="1" fontId="3" fillId="0" borderId="26" xfId="0" applyNumberFormat="1" applyFont="1" applyBorder="1" applyProtection="1">
      <protection locked="0"/>
    </xf>
    <xf numFmtId="1" fontId="4" fillId="0" borderId="21" xfId="0" applyNumberFormat="1" applyFont="1" applyBorder="1" applyProtection="1">
      <protection locked="0"/>
    </xf>
    <xf numFmtId="1" fontId="8" fillId="3" borderId="28" xfId="2" applyNumberFormat="1" applyFont="1" applyFill="1" applyBorder="1" applyAlignment="1">
      <alignment horizontal="left"/>
    </xf>
    <xf numFmtId="1" fontId="8" fillId="3" borderId="31" xfId="2" applyNumberFormat="1" applyFont="1" applyFill="1" applyBorder="1" applyAlignment="1">
      <alignment horizontal="center"/>
    </xf>
    <xf numFmtId="1" fontId="8" fillId="3" borderId="34" xfId="2" applyNumberFormat="1" applyFont="1" applyFill="1" applyBorder="1" applyAlignment="1">
      <alignment horizontal="left"/>
    </xf>
    <xf numFmtId="14" fontId="8" fillId="3" borderId="30" xfId="2" applyNumberFormat="1" applyFont="1" applyFill="1" applyBorder="1" applyAlignment="1">
      <alignment horizontal="center"/>
    </xf>
    <xf numFmtId="0" fontId="8" fillId="3" borderId="30" xfId="2" applyNumberFormat="1" applyFont="1" applyFill="1" applyBorder="1" applyAlignment="1">
      <alignment horizontal="center"/>
    </xf>
    <xf numFmtId="1" fontId="8" fillId="3" borderId="30" xfId="2" applyNumberFormat="1" applyFont="1" applyFill="1" applyBorder="1" applyAlignment="1">
      <alignment horizontal="center"/>
    </xf>
    <xf numFmtId="1" fontId="8" fillId="3" borderId="35" xfId="2" applyNumberFormat="1" applyFont="1" applyFill="1" applyBorder="1" applyAlignment="1">
      <alignment horizontal="center"/>
    </xf>
    <xf numFmtId="0" fontId="4" fillId="7" borderId="32" xfId="2" applyNumberFormat="1" applyFont="1" applyFill="1" applyBorder="1" applyAlignment="1">
      <alignment horizontal="left"/>
    </xf>
    <xf numFmtId="1" fontId="4" fillId="7" borderId="29" xfId="2" applyNumberFormat="1" applyFont="1" applyFill="1" applyBorder="1" applyAlignment="1">
      <alignment horizontal="center"/>
    </xf>
    <xf numFmtId="0" fontId="4" fillId="7" borderId="29" xfId="2" applyFont="1" applyFill="1" applyBorder="1" applyAlignment="1">
      <alignment horizontal="center"/>
    </xf>
    <xf numFmtId="0" fontId="4" fillId="7" borderId="29" xfId="2" applyNumberFormat="1" applyFont="1" applyFill="1" applyBorder="1" applyAlignment="1">
      <alignment horizontal="center"/>
    </xf>
    <xf numFmtId="0" fontId="4" fillId="7" borderId="33" xfId="2" applyFont="1" applyFill="1" applyBorder="1" applyAlignment="1">
      <alignment horizontal="center"/>
    </xf>
    <xf numFmtId="1" fontId="12" fillId="3" borderId="2" xfId="2" applyNumberFormat="1" applyFont="1" applyFill="1"/>
    <xf numFmtId="1" fontId="12" fillId="3" borderId="2" xfId="2" applyNumberFormat="1" applyFont="1" applyFill="1" applyAlignment="1">
      <alignment horizontal="center" vertical="top"/>
    </xf>
    <xf numFmtId="0" fontId="4" fillId="0" borderId="0" xfId="0" applyFont="1" applyBorder="1" applyProtection="1"/>
    <xf numFmtId="0" fontId="3" fillId="0" borderId="17" xfId="0" applyFont="1" applyBorder="1" applyProtection="1">
      <protection locked="0"/>
    </xf>
    <xf numFmtId="0" fontId="4" fillId="0" borderId="17" xfId="0" applyFont="1" applyBorder="1" applyProtection="1">
      <protection locked="0"/>
    </xf>
    <xf numFmtId="1" fontId="3" fillId="3" borderId="12" xfId="2" applyNumberFormat="1" applyFont="1" applyFill="1" applyBorder="1" applyAlignment="1">
      <alignment horizontal="center"/>
    </xf>
    <xf numFmtId="1" fontId="3" fillId="3" borderId="1" xfId="2" applyNumberFormat="1" applyFont="1" applyFill="1" applyBorder="1" applyAlignment="1">
      <alignment horizontal="center"/>
    </xf>
    <xf numFmtId="1" fontId="3" fillId="3" borderId="4" xfId="2" applyNumberFormat="1" applyFont="1" applyFill="1" applyBorder="1" applyAlignment="1">
      <alignment horizontal="center"/>
    </xf>
    <xf numFmtId="1" fontId="3" fillId="3" borderId="2" xfId="2" applyNumberFormat="1" applyFont="1" applyFill="1" applyAlignment="1">
      <alignment horizontal="center"/>
    </xf>
    <xf numFmtId="1" fontId="3" fillId="3" borderId="10" xfId="2" applyNumberFormat="1" applyFont="1" applyFill="1" applyBorder="1" applyAlignment="1">
      <alignment horizontal="center"/>
    </xf>
    <xf numFmtId="1" fontId="3" fillId="3" borderId="13" xfId="2" applyNumberFormat="1" applyFont="1" applyFill="1" applyBorder="1" applyAlignment="1">
      <alignment horizontal="center"/>
    </xf>
    <xf numFmtId="1" fontId="3" fillId="3" borderId="15" xfId="2" applyNumberFormat="1" applyFont="1" applyFill="1" applyBorder="1" applyAlignment="1">
      <alignment horizontal="center"/>
    </xf>
    <xf numFmtId="0" fontId="12" fillId="3" borderId="5" xfId="2" applyFont="1" applyFill="1" applyBorder="1" applyAlignment="1">
      <alignment horizontal="center"/>
    </xf>
    <xf numFmtId="0" fontId="12" fillId="3" borderId="6" xfId="2" applyFont="1" applyFill="1" applyBorder="1" applyAlignment="1">
      <alignment horizontal="center"/>
    </xf>
    <xf numFmtId="1" fontId="12" fillId="3" borderId="6" xfId="2" applyNumberFormat="1" applyFont="1" applyFill="1" applyBorder="1" applyAlignment="1">
      <alignment horizontal="center"/>
    </xf>
    <xf numFmtId="1" fontId="12" fillId="3" borderId="7" xfId="2" applyNumberFormat="1" applyFont="1" applyFill="1" applyBorder="1" applyAlignment="1">
      <alignment horizontal="center"/>
    </xf>
    <xf numFmtId="0" fontId="12" fillId="3" borderId="7" xfId="2" applyFont="1" applyFill="1" applyBorder="1" applyAlignment="1">
      <alignment horizontal="center"/>
    </xf>
    <xf numFmtId="1" fontId="12" fillId="3" borderId="16" xfId="2" applyNumberFormat="1" applyFont="1" applyFill="1" applyBorder="1" applyAlignment="1">
      <alignment horizontal="center"/>
    </xf>
    <xf numFmtId="0" fontId="12" fillId="3" borderId="2" xfId="2" applyFont="1" applyFill="1" applyAlignment="1">
      <alignment horizontal="center"/>
    </xf>
    <xf numFmtId="0" fontId="10" fillId="6" borderId="0" xfId="1" applyFont="1" applyFill="1" applyAlignment="1">
      <alignment horizontal="center"/>
    </xf>
  </cellXfs>
  <cellStyles count="4">
    <cellStyle name="Calcul" xfId="2" builtinId="22"/>
    <cellStyle name="Monétaire" xfId="3" builtinId="4"/>
    <cellStyle name="Neutre" xfId="1" builtinId="28"/>
    <cellStyle name="Normal" xfId="0" builtinId="0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" formatCode="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lightUp">
          <fgColor theme="0"/>
          <bgColor theme="0" tint="-0.14996795556505021"/>
        </patternFill>
      </fill>
    </dxf>
    <dxf>
      <fill>
        <patternFill patternType="lightUp">
          <fgColor theme="0"/>
          <bgColor theme="0"/>
        </patternFill>
      </fill>
    </dxf>
    <dxf>
      <fill>
        <patternFill patternType="gray125">
          <fgColor theme="0"/>
          <bgColor rgb="FF00B0F0"/>
        </patternFill>
      </fill>
    </dxf>
    <dxf>
      <fill>
        <patternFill patternType="gray125">
          <fgColor theme="0"/>
          <bgColor rgb="FFF664BB"/>
        </patternFill>
      </fill>
    </dxf>
    <dxf>
      <fill>
        <patternFill patternType="lightUp">
          <fgColor theme="0"/>
          <bgColor rgb="FF92D050"/>
        </patternFill>
      </fill>
    </dxf>
    <dxf>
      <fill>
        <patternFill patternType="lightUp">
          <fgColor theme="0"/>
          <bgColor rgb="FFFFFF00"/>
        </patternFill>
      </fill>
    </dxf>
    <dxf>
      <fill>
        <patternFill patternType="lightUp">
          <fgColor theme="0"/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1" formatCode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1" formatCode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/>
        <right/>
        <top/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1" formatCode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/>
        <right/>
        <top/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/>
        <right/>
        <top/>
        <bottom style="medium">
          <color indexed="64"/>
        </bottom>
      </border>
      <protection locked="1" hidden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protection locked="0" hidden="0"/>
    </dxf>
  </dxfs>
  <tableStyles count="0" defaultTableStyle="TableStyleMedium2" defaultPivotStyle="PivotStyleLight16"/>
  <colors>
    <mruColors>
      <color rgb="FFF664BB"/>
      <color rgb="FFFFCB25"/>
      <color rgb="FFA2DBE6"/>
      <color rgb="FFD4FD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47625</xdr:rowOff>
        </xdr:from>
        <xdr:to>
          <xdr:col>10</xdr:col>
          <xdr:colOff>600075</xdr:colOff>
          <xdr:row>5</xdr:row>
          <xdr:rowOff>85725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10</xdr:col>
          <xdr:colOff>600075</xdr:colOff>
          <xdr:row>9</xdr:row>
          <xdr:rowOff>85725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</xdr:row>
          <xdr:rowOff>95250</xdr:rowOff>
        </xdr:from>
        <xdr:to>
          <xdr:col>10</xdr:col>
          <xdr:colOff>600075</xdr:colOff>
          <xdr:row>14</xdr:row>
          <xdr:rowOff>38100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</xdr:row>
          <xdr:rowOff>95250</xdr:rowOff>
        </xdr:from>
        <xdr:to>
          <xdr:col>10</xdr:col>
          <xdr:colOff>571500</xdr:colOff>
          <xdr:row>19</xdr:row>
          <xdr:rowOff>9525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</xdr:row>
          <xdr:rowOff>85725</xdr:rowOff>
        </xdr:from>
        <xdr:to>
          <xdr:col>16</xdr:col>
          <xdr:colOff>9525</xdr:colOff>
          <xdr:row>4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9</xdr:row>
          <xdr:rowOff>190500</xdr:rowOff>
        </xdr:from>
        <xdr:to>
          <xdr:col>15</xdr:col>
          <xdr:colOff>733425</xdr:colOff>
          <xdr:row>11</xdr:row>
          <xdr:rowOff>171450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4</xdr:row>
          <xdr:rowOff>190500</xdr:rowOff>
        </xdr:from>
        <xdr:to>
          <xdr:col>16</xdr:col>
          <xdr:colOff>0</xdr:colOff>
          <xdr:row>6</xdr:row>
          <xdr:rowOff>171450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7</xdr:row>
          <xdr:rowOff>95250</xdr:rowOff>
        </xdr:from>
        <xdr:to>
          <xdr:col>16</xdr:col>
          <xdr:colOff>0</xdr:colOff>
          <xdr:row>9</xdr:row>
          <xdr:rowOff>76200</xdr:rowOff>
        </xdr:to>
        <xdr:sp macro="" textlink="">
          <xdr:nvSpPr>
            <xdr:cNvPr id="4105" name="CommandButton2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</xdr:row>
          <xdr:rowOff>0</xdr:rowOff>
        </xdr:from>
        <xdr:to>
          <xdr:col>7</xdr:col>
          <xdr:colOff>742950</xdr:colOff>
          <xdr:row>2</xdr:row>
          <xdr:rowOff>200025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4</xdr:row>
          <xdr:rowOff>28575</xdr:rowOff>
        </xdr:from>
        <xdr:to>
          <xdr:col>7</xdr:col>
          <xdr:colOff>742950</xdr:colOff>
          <xdr:row>6</xdr:row>
          <xdr:rowOff>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742950</xdr:colOff>
          <xdr:row>6</xdr:row>
          <xdr:rowOff>123825</xdr:rowOff>
        </xdr:from>
        <xdr:to>
          <xdr:col>14</xdr:col>
          <xdr:colOff>723900</xdr:colOff>
          <xdr:row>8</xdr:row>
          <xdr:rowOff>104775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95250</xdr:rowOff>
        </xdr:from>
        <xdr:to>
          <xdr:col>14</xdr:col>
          <xdr:colOff>742950</xdr:colOff>
          <xdr:row>16</xdr:row>
          <xdr:rowOff>104775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733425</xdr:colOff>
          <xdr:row>10</xdr:row>
          <xdr:rowOff>95250</xdr:rowOff>
        </xdr:from>
        <xdr:to>
          <xdr:col>14</xdr:col>
          <xdr:colOff>714375</xdr:colOff>
          <xdr:row>12</xdr:row>
          <xdr:rowOff>85725</xdr:rowOff>
        </xdr:to>
        <xdr:sp macro="" textlink="">
          <xdr:nvSpPr>
            <xdr:cNvPr id="3082" name="CommandButton2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352425</xdr:colOff>
          <xdr:row>1</xdr:row>
          <xdr:rowOff>95250</xdr:rowOff>
        </xdr:from>
        <xdr:to>
          <xdr:col>24</xdr:col>
          <xdr:colOff>857250</xdr:colOff>
          <xdr:row>3</xdr:row>
          <xdr:rowOff>190500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342900</xdr:colOff>
          <xdr:row>6</xdr:row>
          <xdr:rowOff>66675</xdr:rowOff>
        </xdr:from>
        <xdr:to>
          <xdr:col>25</xdr:col>
          <xdr:colOff>38100</xdr:colOff>
          <xdr:row>8</xdr:row>
          <xdr:rowOff>180975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371475</xdr:colOff>
          <xdr:row>10</xdr:row>
          <xdr:rowOff>95250</xdr:rowOff>
        </xdr:from>
        <xdr:to>
          <xdr:col>25</xdr:col>
          <xdr:colOff>38100</xdr:colOff>
          <xdr:row>13</xdr:row>
          <xdr:rowOff>0</xdr:rowOff>
        </xdr:to>
        <xdr:sp macro="" textlink="">
          <xdr:nvSpPr>
            <xdr:cNvPr id="11267" name="CommandButton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75DD8F-A7AA-4EED-81C8-F9D8840EB6E2}" name="Tableau7" displayName="Tableau7" ref="B3:J37" headerRowCount="0" totalsRowShown="0" headerRowDxfId="54" headerRowBorderDxfId="53" tableBorderDxfId="52">
  <tableColumns count="9">
    <tableColumn id="1" xr3:uid="{C752E8B0-FB1F-4227-9D56-0BDE7CB8DAE6}" name="Colonne1" headerRowDxfId="51" dataDxfId="50"/>
    <tableColumn id="2" xr3:uid="{43B1DA99-EC88-432D-A6F6-78239A36B7B7}" name="Colonne2" headerRowDxfId="49" dataDxfId="48"/>
    <tableColumn id="3" xr3:uid="{C0259E4E-457C-4032-BB94-2859BC960A8D}" name="Colonne3" headerRowDxfId="47" dataDxfId="46"/>
    <tableColumn id="4" xr3:uid="{7C245C2D-04AB-49AF-BAC9-312630D08B02}" name="Colonne4" headerRowDxfId="45" dataDxfId="44"/>
    <tableColumn id="5" xr3:uid="{CE28C5FF-B846-4462-81E1-BA0A7C9D67B5}" name="Colonne5" headerRowDxfId="43" dataDxfId="42"/>
    <tableColumn id="6" xr3:uid="{1C5E5BE1-3419-4303-8BD4-426CD7457004}" name="Colonne6" headerRowDxfId="41" dataDxfId="40"/>
    <tableColumn id="7" xr3:uid="{09EC261C-7BD2-4580-B5DA-833ABC8ACBAE}" name="Colonne7" headerRowDxfId="39" dataDxfId="38"/>
    <tableColumn id="8" xr3:uid="{2BE3019A-D704-43DD-99D3-875239E9E95C}" name="Colonne8" headerRowDxfId="37" dataDxfId="36"/>
    <tableColumn id="9" xr3:uid="{0A0C90F1-F62B-48F6-89F6-A17522F8C1C1}" name="Colonne9" headerRowDxfId="35" dataDxfId="3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DB617D-2C88-412C-B347-466FBA35A5A3}" name="Tableau9" displayName="Tableau9" ref="A1:V51" totalsRowShown="0" headerRowDxfId="26" dataDxfId="24" headerRowBorderDxfId="25" tableBorderDxfId="23" totalsRowBorderDxfId="22" headerRowCellStyle="Calcul" dataCellStyle="Calcul">
  <autoFilter ref="A1:V51" xr:uid="{23579E69-CB34-4268-983C-C02D5F7DD99A}"/>
  <tableColumns count="22">
    <tableColumn id="1" xr3:uid="{F18557B1-0001-4131-A4C9-5ED92F637DC6}" name="N°" dataDxfId="21" dataCellStyle="Calcul"/>
    <tableColumn id="2" xr3:uid="{EFE586E8-3682-4FFE-B2DA-08C83953C796}" name="Maticule" dataDxfId="20" dataCellStyle="Calcul"/>
    <tableColumn id="3" xr3:uid="{195EC0E9-4F06-4A4B-91FD-CE28DA3963AB}" name="Prénom" dataDxfId="19" dataCellStyle="Calcul"/>
    <tableColumn id="4" xr3:uid="{E19A1FB6-76A5-40F7-B4F6-B57648734EA0}" name="Nom" dataDxfId="18" dataCellStyle="Calcul"/>
    <tableColumn id="5" xr3:uid="{5AC3BDAA-2C25-463B-8492-B39DFAD9F57B}" name="Date Nais" dataDxfId="17" dataCellStyle="Calcul"/>
    <tableColumn id="6" xr3:uid="{D99C7569-2BA9-49AC-BFB3-8ADD4C8E3EBE}" name="Lieu Nais" dataDxfId="16" dataCellStyle="Calcul"/>
    <tableColumn id="7" xr3:uid="{ECB77E4A-4D54-4E73-A855-424057CBEB4A}" name="Sexe" dataDxfId="15" dataCellStyle="Calcul"/>
    <tableColumn id="8" xr3:uid="{8C88D371-859C-46CA-AE69-48F74B681BFD}" name="Catégorie" dataDxfId="14" dataCellStyle="Calcul"/>
    <tableColumn id="9" xr3:uid="{006CC2C4-75AD-47BE-A094-466A2C47F085}" name="Etat_Civil" dataDxfId="13" dataCellStyle="Calcul"/>
    <tableColumn id="10" xr3:uid="{6E821EE4-0AE0-455C-BC7A-76C6527AB4B7}" name="Nb_epouse" dataDxfId="12" dataCellStyle="Calcul"/>
    <tableColumn id="11" xr3:uid="{6A829944-887C-4B7E-9925-3F35E2484671}" name="Nb_enfant" dataDxfId="11" dataCellStyle="Calcul"/>
    <tableColumn id="12" xr3:uid="{CAF887F2-B3AD-4808-A506-83285DB158F0}" name="Sursalaire" dataDxfId="10" dataCellStyle="Calcul"/>
    <tableColumn id="13" xr3:uid="{3ECC3700-2D06-4E93-A53C-9B190D9EBBB8}" name="H_Supp_15" dataDxfId="9" dataCellStyle="Calcul"/>
    <tableColumn id="14" xr3:uid="{574F6453-9E45-4BA6-8BA7-6F970E92B013}" name="H_Supp_40" dataDxfId="8" dataCellStyle="Calcul"/>
    <tableColumn id="15" xr3:uid="{D35577C2-A131-4CAA-B22B-D542C3074C00}" name="H_Supp_60" dataDxfId="7" dataCellStyle="Calcul"/>
    <tableColumn id="16" xr3:uid="{B9C86BA3-F9B3-4216-87F4-A03193EAAC11}" name="H_Supp_100" dataDxfId="6" dataCellStyle="Calcul"/>
    <tableColumn id="17" xr3:uid="{097DB087-FA3D-42AA-AF0A-F46FEE2ACB75}" name="Prime" dataDxfId="5" dataCellStyle="Calcul"/>
    <tableColumn id="18" xr3:uid="{639FE6C8-8D02-46FF-914D-22892F1B5AA8}" name="Avantage" dataDxfId="4" dataCellStyle="Calcul"/>
    <tableColumn id="19" xr3:uid="{2E33A6E1-FD78-410E-BBAD-14F8699F4FF5}" name="Indemnité" dataDxfId="3" dataCellStyle="Calcul"/>
    <tableColumn id="20" xr3:uid="{755C9E8F-907C-4688-BA7E-A0228CF75206}" name="IPM" dataDxfId="2" dataCellStyle="Calcul"/>
    <tableColumn id="21" xr3:uid="{93CC769E-D513-43A3-8E64-739D3BDC64D9}" name="Avance_Ac" dataDxfId="1" dataCellStyle="Calcul"/>
    <tableColumn id="22" xr3:uid="{4C5F3D7C-D8FD-4937-A54C-D523C2336688}" name="Opposition" dataDxfId="0" dataCellStyle="Calcul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image" Target="../media/image5.emf"/><Relationship Id="rId3" Type="http://schemas.openxmlformats.org/officeDocument/2006/relationships/drawing" Target="../drawings/drawing1.xml"/><Relationship Id="rId7" Type="http://schemas.openxmlformats.org/officeDocument/2006/relationships/image" Target="../media/image2.emf"/><Relationship Id="rId12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.xml"/><Relationship Id="rId11" Type="http://schemas.openxmlformats.org/officeDocument/2006/relationships/image" Target="../media/image4.emf"/><Relationship Id="rId5" Type="http://schemas.openxmlformats.org/officeDocument/2006/relationships/image" Target="../media/image1.jpeg"/><Relationship Id="rId10" Type="http://schemas.openxmlformats.org/officeDocument/2006/relationships/control" Target="../activeX/activeX3.xml"/><Relationship Id="rId4" Type="http://schemas.openxmlformats.org/officeDocument/2006/relationships/vmlDrawing" Target="../drawings/vmlDrawing1.v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9.emf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6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0" Type="http://schemas.openxmlformats.org/officeDocument/2006/relationships/image" Target="../media/image8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10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image" Target="../media/image12.emf"/><Relationship Id="rId11" Type="http://schemas.openxmlformats.org/officeDocument/2006/relationships/table" Target="../tables/table1.xml"/><Relationship Id="rId5" Type="http://schemas.openxmlformats.org/officeDocument/2006/relationships/control" Target="../activeX/activeX11.xml"/><Relationship Id="rId10" Type="http://schemas.openxmlformats.org/officeDocument/2006/relationships/image" Target="../media/image14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5.xml"/><Relationship Id="rId5" Type="http://schemas.openxmlformats.org/officeDocument/2006/relationships/image" Target="../media/image15.emf"/><Relationship Id="rId10" Type="http://schemas.openxmlformats.org/officeDocument/2006/relationships/table" Target="../tables/table2.xml"/><Relationship Id="rId4" Type="http://schemas.openxmlformats.org/officeDocument/2006/relationships/control" Target="../activeX/activeX14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U34"/>
  <sheetViews>
    <sheetView tabSelected="1" workbookViewId="0">
      <selection activeCell="L12" sqref="L12"/>
    </sheetView>
  </sheetViews>
  <sheetFormatPr baseColWidth="10" defaultColWidth="9.140625" defaultRowHeight="15" x14ac:dyDescent="0.25"/>
  <cols>
    <col min="1" max="16384" width="9.140625" style="1"/>
  </cols>
  <sheetData>
    <row r="1" spans="1:21" ht="15" customHeight="1" x14ac:dyDescent="0.45">
      <c r="A1" s="23"/>
      <c r="B1" s="23"/>
      <c r="C1" s="23"/>
      <c r="D1" s="117" t="s">
        <v>4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23"/>
      <c r="R1" s="23"/>
      <c r="S1" s="23"/>
      <c r="T1" s="23"/>
      <c r="U1" s="23"/>
    </row>
    <row r="2" spans="1:21" ht="45" customHeight="1" x14ac:dyDescent="0.45">
      <c r="A2" s="23"/>
      <c r="B2" s="23"/>
      <c r="C2" s="23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23"/>
      <c r="R2" s="23"/>
      <c r="S2" s="23"/>
      <c r="T2" s="23"/>
      <c r="U2" s="23"/>
    </row>
    <row r="3" spans="1:21" ht="23.25" customHeight="1" x14ac:dyDescent="0.25">
      <c r="A3" s="22"/>
      <c r="B3" s="21"/>
      <c r="C3" s="21"/>
      <c r="D3" s="21"/>
      <c r="E3" s="21"/>
      <c r="F3" s="21"/>
      <c r="G3" s="21"/>
      <c r="H3" s="21"/>
      <c r="I3" s="21"/>
      <c r="J3" s="21"/>
      <c r="K3" s="21"/>
      <c r="L3"/>
      <c r="M3"/>
      <c r="N3"/>
      <c r="O3"/>
      <c r="P3"/>
      <c r="Q3"/>
      <c r="R3"/>
      <c r="S3"/>
      <c r="T3"/>
      <c r="U3"/>
    </row>
    <row r="4" spans="1:21" x14ac:dyDescent="0.25">
      <c r="A4" s="22"/>
      <c r="B4" s="21"/>
      <c r="C4" s="21"/>
      <c r="D4" s="21"/>
      <c r="E4" s="21"/>
      <c r="F4" s="21"/>
      <c r="G4" s="21"/>
      <c r="H4" s="21"/>
      <c r="I4" s="21"/>
      <c r="J4" s="21"/>
      <c r="K4" s="21"/>
      <c r="L4"/>
      <c r="M4"/>
      <c r="N4"/>
      <c r="O4"/>
      <c r="P4"/>
      <c r="Q4"/>
      <c r="R4"/>
      <c r="S4"/>
      <c r="T4"/>
      <c r="U4"/>
    </row>
    <row r="5" spans="1:21" x14ac:dyDescent="0.25">
      <c r="A5" s="22"/>
      <c r="B5" s="21"/>
      <c r="C5" s="21"/>
      <c r="D5" s="21"/>
      <c r="E5" s="21"/>
      <c r="F5" s="21"/>
      <c r="G5" s="21"/>
      <c r="H5" s="21"/>
      <c r="I5" s="21"/>
      <c r="J5" s="21"/>
      <c r="K5" s="21"/>
      <c r="L5"/>
      <c r="M5"/>
      <c r="N5"/>
      <c r="O5"/>
      <c r="P5"/>
      <c r="Q5"/>
      <c r="R5"/>
      <c r="S5"/>
      <c r="T5"/>
      <c r="U5"/>
    </row>
    <row r="6" spans="1:21" x14ac:dyDescent="0.25">
      <c r="A6" s="22"/>
      <c r="B6" s="21"/>
      <c r="C6" s="21"/>
      <c r="D6" s="21"/>
      <c r="E6" s="21"/>
      <c r="F6" s="21"/>
      <c r="G6" s="21"/>
      <c r="H6" s="21"/>
      <c r="I6" s="21"/>
      <c r="J6" s="21"/>
      <c r="K6" s="21"/>
      <c r="L6"/>
      <c r="M6"/>
      <c r="N6"/>
      <c r="O6"/>
      <c r="P6"/>
      <c r="Q6"/>
      <c r="R6"/>
      <c r="S6"/>
      <c r="T6"/>
      <c r="U6"/>
    </row>
    <row r="7" spans="1:21" x14ac:dyDescent="0.25">
      <c r="A7" s="22"/>
      <c r="B7" s="21"/>
      <c r="C7" s="21"/>
      <c r="D7" s="21"/>
      <c r="E7" s="21"/>
      <c r="F7" s="21"/>
      <c r="G7" s="21"/>
      <c r="H7" s="21"/>
      <c r="I7" s="21"/>
      <c r="J7" s="21"/>
      <c r="K7" s="21"/>
      <c r="L7"/>
      <c r="M7"/>
      <c r="N7"/>
      <c r="O7"/>
      <c r="P7"/>
      <c r="Q7"/>
      <c r="R7"/>
      <c r="S7"/>
      <c r="T7"/>
      <c r="U7"/>
    </row>
    <row r="8" spans="1:21" x14ac:dyDescent="0.25">
      <c r="A8" s="22"/>
      <c r="B8" s="21"/>
      <c r="C8" s="21"/>
      <c r="D8" s="21"/>
      <c r="E8" s="21"/>
      <c r="F8" s="21"/>
      <c r="G8" s="21"/>
      <c r="H8" s="21"/>
      <c r="I8" s="21"/>
      <c r="J8" s="21"/>
      <c r="K8" s="21"/>
      <c r="L8"/>
      <c r="M8"/>
      <c r="N8"/>
      <c r="O8"/>
      <c r="P8"/>
      <c r="Q8"/>
      <c r="R8"/>
      <c r="S8"/>
      <c r="T8"/>
      <c r="U8"/>
    </row>
    <row r="9" spans="1:21" x14ac:dyDescent="0.25">
      <c r="A9" s="22"/>
      <c r="B9" s="21"/>
      <c r="C9" s="21"/>
      <c r="D9" s="21"/>
      <c r="E9" s="21"/>
      <c r="F9" s="21"/>
      <c r="G9" s="21"/>
      <c r="H9" s="21"/>
      <c r="I9" s="21"/>
      <c r="J9" s="21"/>
      <c r="K9" s="21"/>
      <c r="L9"/>
      <c r="M9"/>
      <c r="N9"/>
      <c r="O9"/>
      <c r="P9"/>
      <c r="Q9"/>
      <c r="R9"/>
      <c r="S9"/>
      <c r="T9"/>
      <c r="U9"/>
    </row>
    <row r="10" spans="1:21" x14ac:dyDescent="0.25">
      <c r="A10" s="22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/>
      <c r="M10"/>
      <c r="N10"/>
      <c r="O10"/>
      <c r="P10"/>
      <c r="Q10"/>
      <c r="R10"/>
      <c r="S10"/>
      <c r="T10"/>
      <c r="U10"/>
    </row>
    <row r="11" spans="1:21" x14ac:dyDescent="0.25">
      <c r="A11" s="22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/>
      <c r="M11"/>
      <c r="N11"/>
      <c r="O11"/>
      <c r="P11"/>
      <c r="Q11"/>
      <c r="R11"/>
      <c r="S11"/>
      <c r="T11"/>
      <c r="U11"/>
    </row>
    <row r="12" spans="1:21" x14ac:dyDescent="0.25">
      <c r="A12" s="22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/>
      <c r="M12"/>
      <c r="N12"/>
      <c r="O12"/>
      <c r="P12"/>
      <c r="Q12"/>
      <c r="R12"/>
      <c r="S12"/>
      <c r="T12"/>
      <c r="U12"/>
    </row>
    <row r="13" spans="1:21" x14ac:dyDescent="0.25">
      <c r="A13" s="22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/>
      <c r="M13"/>
      <c r="N13"/>
      <c r="O13"/>
      <c r="P13"/>
      <c r="Q13"/>
      <c r="R13"/>
      <c r="S13"/>
      <c r="T13"/>
      <c r="U13"/>
    </row>
    <row r="14" spans="1:21" x14ac:dyDescent="0.25">
      <c r="A14" s="22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/>
      <c r="M14"/>
      <c r="N14"/>
      <c r="O14"/>
      <c r="P14"/>
      <c r="Q14"/>
      <c r="R14"/>
      <c r="S14"/>
      <c r="T14"/>
      <c r="U14"/>
    </row>
    <row r="15" spans="1:21" x14ac:dyDescent="0.25">
      <c r="A15" s="22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/>
      <c r="M15"/>
      <c r="N15"/>
      <c r="O15"/>
      <c r="P15"/>
      <c r="Q15"/>
      <c r="R15"/>
      <c r="S15"/>
      <c r="T15"/>
      <c r="U15"/>
    </row>
    <row r="16" spans="1:21" x14ac:dyDescent="0.25">
      <c r="A16" s="22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/>
      <c r="M16"/>
      <c r="N16"/>
      <c r="O16"/>
      <c r="P16"/>
      <c r="Q16"/>
      <c r="R16"/>
      <c r="S16"/>
      <c r="T16"/>
      <c r="U16"/>
    </row>
    <row r="17" spans="1:21" x14ac:dyDescent="0.25">
      <c r="A17" s="22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/>
      <c r="M17"/>
      <c r="N17"/>
      <c r="O17"/>
      <c r="P17"/>
      <c r="Q17"/>
      <c r="R17"/>
      <c r="S17"/>
      <c r="T17"/>
      <c r="U17"/>
    </row>
    <row r="18" spans="1:21" x14ac:dyDescent="0.25">
      <c r="A18" s="22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/>
      <c r="M18"/>
      <c r="N18"/>
      <c r="O18"/>
      <c r="P18"/>
      <c r="Q18"/>
      <c r="R18"/>
      <c r="S18"/>
      <c r="T18"/>
      <c r="U18"/>
    </row>
    <row r="19" spans="1:21" x14ac:dyDescent="0.25">
      <c r="A19" s="22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/>
      <c r="M19"/>
      <c r="N19"/>
      <c r="O19"/>
      <c r="P19"/>
      <c r="Q19"/>
      <c r="R19"/>
      <c r="S19"/>
      <c r="T19"/>
      <c r="U19"/>
    </row>
    <row r="20" spans="1:21" x14ac:dyDescent="0.25">
      <c r="A20" s="22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/>
      <c r="M20"/>
      <c r="N20"/>
      <c r="O20"/>
      <c r="P20"/>
      <c r="Q20"/>
      <c r="R20"/>
      <c r="S20"/>
      <c r="T20"/>
      <c r="U20"/>
    </row>
    <row r="21" spans="1:21" x14ac:dyDescent="0.25">
      <c r="A21" s="22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/>
      <c r="M21"/>
      <c r="N21"/>
      <c r="O21"/>
      <c r="P21"/>
      <c r="Q21"/>
      <c r="R21"/>
      <c r="S21"/>
      <c r="T21"/>
      <c r="U21"/>
    </row>
    <row r="22" spans="1:21" x14ac:dyDescent="0.25">
      <c r="A22" s="22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/>
      <c r="M22"/>
      <c r="N22"/>
      <c r="O22"/>
      <c r="P22"/>
      <c r="Q22"/>
      <c r="R22"/>
      <c r="S22"/>
      <c r="T22"/>
      <c r="U22"/>
    </row>
    <row r="23" spans="1:21" x14ac:dyDescent="0.25">
      <c r="A23" s="22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/>
      <c r="M23"/>
      <c r="N23"/>
      <c r="O23"/>
      <c r="P23"/>
      <c r="Q23"/>
      <c r="R23"/>
      <c r="S23"/>
      <c r="T23"/>
      <c r="U23"/>
    </row>
    <row r="24" spans="1:21" x14ac:dyDescent="0.25">
      <c r="A24" s="22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/>
      <c r="M24"/>
      <c r="N24"/>
      <c r="O24"/>
      <c r="P24"/>
      <c r="Q24"/>
      <c r="R24"/>
      <c r="S24"/>
      <c r="T24"/>
      <c r="U24"/>
    </row>
    <row r="25" spans="1:21" x14ac:dyDescent="0.25">
      <c r="A25" s="22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/>
      <c r="M25"/>
      <c r="N25"/>
      <c r="O25"/>
      <c r="P25"/>
      <c r="Q25"/>
      <c r="R25"/>
      <c r="S25"/>
      <c r="T25"/>
      <c r="U25"/>
    </row>
    <row r="26" spans="1:2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1:2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  <row r="32" spans="1:2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</row>
    <row r="33" spans="1:2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</row>
    <row r="34" spans="1:21" x14ac:dyDescent="0.25">
      <c r="B34"/>
    </row>
  </sheetData>
  <sheetProtection algorithmName="SHA-512" hashValue="X6+/ZYBvLlDZJmPKiedvyAaY4Jklpo6gMzTSXUnHw/XwWxkfI6+ecykeyu66GiaUJ+T1slLARBHFl71nxkptZQ==" saltValue="AvyRoihuBxeSLmpmBTUCnA==" spinCount="100000" sheet="1" objects="1" scenarios="1" formatCells="0"/>
  <customSheetViews>
    <customSheetView guid="{625BDD88-EAB4-4420-915B-3E9C847A7C67}">
      <selection activeCell="C6" sqref="C6"/>
      <pageMargins left="0.7" right="0.7" top="0.75" bottom="0.75" header="0.3" footer="0.3"/>
      <pageSetup orientation="portrait" horizontalDpi="4294967295" verticalDpi="4294967295" r:id="rId1"/>
    </customSheetView>
  </customSheetViews>
  <mergeCells count="1">
    <mergeCell ref="D1:P2"/>
  </mergeCells>
  <pageMargins left="0.7" right="0.7" top="0.75" bottom="0.75" header="0.3" footer="0.3"/>
  <pageSetup orientation="portrait" horizontalDpi="4294967295" verticalDpi="4294967295" r:id="rId2"/>
  <drawing r:id="rId3"/>
  <legacyDrawing r:id="rId4"/>
  <picture r:id="rId5"/>
  <controls>
    <mc:AlternateContent xmlns:mc="http://schemas.openxmlformats.org/markup-compatibility/2006">
      <mc:Choice Requires="x14">
        <control shapeId="1029" r:id="rId6" name="CommandButton5">
          <controlPr autoLine="0" autoPict="0" r:id="rId7">
            <anchor moveWithCells="1">
              <from>
                <xdr:col>0</xdr:col>
                <xdr:colOff>9525</xdr:colOff>
                <xdr:row>15</xdr:row>
                <xdr:rowOff>95250</xdr:rowOff>
              </from>
              <to>
                <xdr:col>10</xdr:col>
                <xdr:colOff>571500</xdr:colOff>
                <xdr:row>19</xdr:row>
                <xdr:rowOff>9525</xdr:rowOff>
              </to>
            </anchor>
          </controlPr>
        </control>
      </mc:Choice>
      <mc:Fallback>
        <control shapeId="1029" r:id="rId6" name="CommandButton5"/>
      </mc:Fallback>
    </mc:AlternateContent>
    <mc:AlternateContent xmlns:mc="http://schemas.openxmlformats.org/markup-compatibility/2006">
      <mc:Choice Requires="x14">
        <control shapeId="1028" r:id="rId8" name="CommandButton4">
          <controlPr autoLine="0" r:id="rId9">
            <anchor moveWithCells="1">
              <from>
                <xdr:col>0</xdr:col>
                <xdr:colOff>9525</xdr:colOff>
                <xdr:row>10</xdr:row>
                <xdr:rowOff>95250</xdr:rowOff>
              </from>
              <to>
                <xdr:col>10</xdr:col>
                <xdr:colOff>600075</xdr:colOff>
                <xdr:row>14</xdr:row>
                <xdr:rowOff>38100</xdr:rowOff>
              </to>
            </anchor>
          </controlPr>
        </control>
      </mc:Choice>
      <mc:Fallback>
        <control shapeId="1028" r:id="rId8" name="CommandButton4"/>
      </mc:Fallback>
    </mc:AlternateContent>
    <mc:AlternateContent xmlns:mc="http://schemas.openxmlformats.org/markup-compatibility/2006">
      <mc:Choice Requires="x14">
        <control shapeId="1027" r:id="rId10" name="CommandButton3">
          <controlPr autoLine="0" autoPict="0" r:id="rId11">
            <anchor moveWithCells="1">
              <from>
                <xdr:col>0</xdr:col>
                <xdr:colOff>0</xdr:colOff>
                <xdr:row>6</xdr:row>
                <xdr:rowOff>28575</xdr:rowOff>
              </from>
              <to>
                <xdr:col>10</xdr:col>
                <xdr:colOff>600075</xdr:colOff>
                <xdr:row>9</xdr:row>
                <xdr:rowOff>85725</xdr:rowOff>
              </to>
            </anchor>
          </controlPr>
        </control>
      </mc:Choice>
      <mc:Fallback>
        <control shapeId="1027" r:id="rId10" name="CommandButton3"/>
      </mc:Fallback>
    </mc:AlternateContent>
    <mc:AlternateContent xmlns:mc="http://schemas.openxmlformats.org/markup-compatibility/2006">
      <mc:Choice Requires="x14">
        <control shapeId="1026" r:id="rId12" name="CommandButton2">
          <controlPr autoLine="0" autoPict="0" r:id="rId13">
            <anchor moveWithCells="1">
              <from>
                <xdr:col>0</xdr:col>
                <xdr:colOff>9525</xdr:colOff>
                <xdr:row>2</xdr:row>
                <xdr:rowOff>47625</xdr:rowOff>
              </from>
              <to>
                <xdr:col>10</xdr:col>
                <xdr:colOff>600075</xdr:colOff>
                <xdr:row>5</xdr:row>
                <xdr:rowOff>85725</xdr:rowOff>
              </to>
            </anchor>
          </controlPr>
        </control>
      </mc:Choice>
      <mc:Fallback>
        <control shapeId="1026" r:id="rId12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E9B7B-41D4-4273-A974-A4A859F9D48A}">
  <sheetPr codeName="Feuil3"/>
  <dimension ref="A1:M4"/>
  <sheetViews>
    <sheetView workbookViewId="0">
      <pane ySplit="1" topLeftCell="A2" activePane="bottomLeft" state="frozen"/>
      <selection pane="bottomLeft" activeCell="E9" sqref="E9"/>
    </sheetView>
  </sheetViews>
  <sheetFormatPr baseColWidth="10" defaultRowHeight="15.75" x14ac:dyDescent="0.25"/>
  <cols>
    <col min="1" max="1" width="13.85546875" style="29" customWidth="1"/>
    <col min="2" max="2" width="10.85546875" style="33" customWidth="1"/>
    <col min="3" max="3" width="12.140625" style="33" customWidth="1"/>
    <col min="4" max="4" width="10.42578125" style="33" customWidth="1"/>
    <col min="5" max="5" width="12" style="33" customWidth="1"/>
    <col min="6" max="6" width="12.28515625" style="33" customWidth="1"/>
    <col min="7" max="7" width="10.85546875" style="33" customWidth="1"/>
    <col min="8" max="8" width="14.85546875" style="33" customWidth="1"/>
    <col min="9" max="9" width="16" style="33" customWidth="1"/>
    <col min="10" max="10" width="14" style="33" customWidth="1"/>
    <col min="11" max="11" width="13.85546875" style="33" customWidth="1"/>
    <col min="12" max="12" width="12.85546875" style="33" customWidth="1"/>
    <col min="13" max="13" width="16" style="106" customWidth="1"/>
    <col min="14" max="16384" width="11.42578125" style="29"/>
  </cols>
  <sheetData>
    <row r="1" spans="1:13" ht="18.75" x14ac:dyDescent="0.3">
      <c r="A1" s="98" t="s">
        <v>291</v>
      </c>
      <c r="B1" s="99" t="s">
        <v>292</v>
      </c>
      <c r="C1" s="99" t="s">
        <v>293</v>
      </c>
      <c r="D1" s="99" t="s">
        <v>295</v>
      </c>
      <c r="E1" s="99" t="s">
        <v>2</v>
      </c>
      <c r="F1" s="99" t="s">
        <v>24</v>
      </c>
      <c r="G1" s="99" t="s">
        <v>25</v>
      </c>
      <c r="H1" s="99" t="s">
        <v>74</v>
      </c>
      <c r="I1" s="99" t="s">
        <v>3</v>
      </c>
      <c r="J1" s="99" t="s">
        <v>28</v>
      </c>
      <c r="K1" s="99" t="s">
        <v>73</v>
      </c>
      <c r="L1" s="99" t="s">
        <v>294</v>
      </c>
      <c r="M1" s="116" t="s">
        <v>304</v>
      </c>
    </row>
    <row r="2" spans="1:13" x14ac:dyDescent="0.25">
      <c r="A2" s="29" t="s">
        <v>297</v>
      </c>
      <c r="B2" s="33">
        <v>900000</v>
      </c>
      <c r="C2" s="33">
        <v>20160</v>
      </c>
      <c r="D2" s="33">
        <v>21600</v>
      </c>
      <c r="E2" s="33">
        <v>1500</v>
      </c>
      <c r="F2" s="33">
        <v>4800</v>
      </c>
      <c r="G2" s="33">
        <v>202475</v>
      </c>
      <c r="H2" s="33">
        <v>100000</v>
      </c>
      <c r="I2" s="33">
        <v>0</v>
      </c>
      <c r="J2" s="33">
        <f>345735+4800</f>
        <v>350535</v>
      </c>
      <c r="K2" s="33">
        <v>0</v>
      </c>
      <c r="L2" s="33">
        <f>554265-4800</f>
        <v>549465</v>
      </c>
      <c r="M2" s="106">
        <f>570765-4800</f>
        <v>565965</v>
      </c>
    </row>
    <row r="3" spans="1:13" x14ac:dyDescent="0.25">
      <c r="A3" s="29" t="s">
        <v>296</v>
      </c>
      <c r="B3" s="33">
        <v>238880</v>
      </c>
      <c r="C3" s="33">
        <v>13377.28</v>
      </c>
      <c r="D3" s="33">
        <v>0</v>
      </c>
      <c r="E3" s="33">
        <v>6900</v>
      </c>
      <c r="F3" s="33">
        <v>2700</v>
      </c>
      <c r="G3" s="33">
        <v>2164</v>
      </c>
      <c r="H3" s="33">
        <v>0</v>
      </c>
      <c r="I3" s="33">
        <v>0</v>
      </c>
      <c r="J3" s="33">
        <v>25141.279999999999</v>
      </c>
      <c r="K3" s="33">
        <v>0</v>
      </c>
      <c r="L3" s="33">
        <v>213738.72</v>
      </c>
      <c r="M3" s="106">
        <v>230238.72</v>
      </c>
    </row>
    <row r="4" spans="1:13" x14ac:dyDescent="0.25">
      <c r="A4" s="29" t="s">
        <v>309</v>
      </c>
      <c r="B4" s="33">
        <v>655000</v>
      </c>
      <c r="C4" s="33">
        <v>20160</v>
      </c>
      <c r="D4" s="33">
        <v>15720</v>
      </c>
      <c r="F4" s="33">
        <v>3600</v>
      </c>
      <c r="G4" s="33">
        <v>163333</v>
      </c>
      <c r="H4" s="33">
        <v>0</v>
      </c>
      <c r="I4" s="33">
        <v>0</v>
      </c>
      <c r="J4" s="33">
        <v>202813</v>
      </c>
      <c r="K4" s="33">
        <v>0</v>
      </c>
      <c r="L4" s="33">
        <v>452187</v>
      </c>
      <c r="M4" s="106">
        <v>468687</v>
      </c>
    </row>
  </sheetData>
  <customSheetViews>
    <customSheetView guid="{625BDD88-EAB4-4420-915B-3E9C847A7C67}">
      <selection activeCell="G3" sqref="G3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099" r:id="rId5" name="CommandButton3">
          <controlPr defaultSize="0" autoLine="0" autoPict="0" r:id="rId6">
            <anchor moveWithCells="1">
              <from>
                <xdr:col>13</xdr:col>
                <xdr:colOff>9525</xdr:colOff>
                <xdr:row>9</xdr:row>
                <xdr:rowOff>190500</xdr:rowOff>
              </from>
              <to>
                <xdr:col>15</xdr:col>
                <xdr:colOff>733425</xdr:colOff>
                <xdr:row>11</xdr:row>
                <xdr:rowOff>171450</xdr:rowOff>
              </to>
            </anchor>
          </controlPr>
        </control>
      </mc:Choice>
      <mc:Fallback>
        <control shapeId="4099" r:id="rId5" name="CommandButton3"/>
      </mc:Fallback>
    </mc:AlternateContent>
    <mc:AlternateContent xmlns:mc="http://schemas.openxmlformats.org/markup-compatibility/2006">
      <mc:Choice Requires="x14">
        <control shapeId="4097" r:id="rId7" name="CommandButton1">
          <controlPr defaultSize="0" autoLine="0" r:id="rId8">
            <anchor moveWithCells="1">
              <from>
                <xdr:col>13</xdr:col>
                <xdr:colOff>9525</xdr:colOff>
                <xdr:row>2</xdr:row>
                <xdr:rowOff>85725</xdr:rowOff>
              </from>
              <to>
                <xdr:col>16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4097" r:id="rId7" name="CommandButton1"/>
      </mc:Fallback>
    </mc:AlternateContent>
    <mc:AlternateContent xmlns:mc="http://schemas.openxmlformats.org/markup-compatibility/2006">
      <mc:Choice Requires="x14">
        <control shapeId="4100" r:id="rId9" name="CommandButton4">
          <controlPr defaultSize="0" autoLine="0" r:id="rId10">
            <anchor moveWithCells="1">
              <from>
                <xdr:col>13</xdr:col>
                <xdr:colOff>28575</xdr:colOff>
                <xdr:row>4</xdr:row>
                <xdr:rowOff>190500</xdr:rowOff>
              </from>
              <to>
                <xdr:col>16</xdr:col>
                <xdr:colOff>0</xdr:colOff>
                <xdr:row>6</xdr:row>
                <xdr:rowOff>171450</xdr:rowOff>
              </to>
            </anchor>
          </controlPr>
        </control>
      </mc:Choice>
      <mc:Fallback>
        <control shapeId="4100" r:id="rId9" name="CommandButton4"/>
      </mc:Fallback>
    </mc:AlternateContent>
    <mc:AlternateContent xmlns:mc="http://schemas.openxmlformats.org/markup-compatibility/2006">
      <mc:Choice Requires="x14">
        <control shapeId="4105" r:id="rId11" name="CommandButton2">
          <controlPr defaultSize="0" autoLine="0" r:id="rId12">
            <anchor moveWithCells="1">
              <from>
                <xdr:col>13</xdr:col>
                <xdr:colOff>28575</xdr:colOff>
                <xdr:row>7</xdr:row>
                <xdr:rowOff>95250</xdr:rowOff>
              </from>
              <to>
                <xdr:col>16</xdr:col>
                <xdr:colOff>0</xdr:colOff>
                <xdr:row>9</xdr:row>
                <xdr:rowOff>76200</xdr:rowOff>
              </to>
            </anchor>
          </controlPr>
        </control>
      </mc:Choice>
      <mc:Fallback>
        <control shapeId="4105" r:id="rId11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FF364-FDE1-47FD-9123-0E175A45AEDC}">
  <sheetPr codeName="Feuil6"/>
  <dimension ref="A1:F18"/>
  <sheetViews>
    <sheetView workbookViewId="0">
      <pane ySplit="1" topLeftCell="A2" activePane="bottomLeft" state="frozen"/>
      <selection pane="bottomLeft" activeCell="D19" sqref="D19"/>
    </sheetView>
  </sheetViews>
  <sheetFormatPr baseColWidth="10" defaultRowHeight="15.75" x14ac:dyDescent="0.25"/>
  <cols>
    <col min="1" max="1" width="31.7109375" style="2" customWidth="1"/>
    <col min="2" max="2" width="33.42578125" style="2" customWidth="1"/>
    <col min="3" max="3" width="40.42578125" style="2" customWidth="1"/>
    <col min="4" max="4" width="21.28515625" style="106" customWidth="1"/>
    <col min="5" max="5" width="23" style="106" customWidth="1"/>
    <col min="6" max="16384" width="11.42578125" style="2"/>
  </cols>
  <sheetData>
    <row r="1" spans="1:6" ht="19.5" thickBot="1" x14ac:dyDescent="0.35">
      <c r="A1" s="110" t="s">
        <v>34</v>
      </c>
      <c r="B1" s="111" t="s">
        <v>35</v>
      </c>
      <c r="C1" s="111" t="s">
        <v>31</v>
      </c>
      <c r="D1" s="112" t="s">
        <v>32</v>
      </c>
      <c r="E1" s="113" t="s">
        <v>33</v>
      </c>
      <c r="F1" s="3"/>
    </row>
    <row r="2" spans="1:6" x14ac:dyDescent="0.25">
      <c r="A2" s="6">
        <v>421</v>
      </c>
      <c r="B2" s="7"/>
      <c r="C2" s="11" t="s">
        <v>26</v>
      </c>
      <c r="D2" s="30">
        <v>100000</v>
      </c>
      <c r="E2" s="107"/>
      <c r="F2" s="3"/>
    </row>
    <row r="3" spans="1:6" ht="16.5" thickBot="1" x14ac:dyDescent="0.3">
      <c r="A3" s="8"/>
      <c r="B3" s="9">
        <v>521</v>
      </c>
      <c r="C3" s="12" t="s">
        <v>37</v>
      </c>
      <c r="D3" s="103"/>
      <c r="E3" s="108">
        <v>100000</v>
      </c>
      <c r="F3" s="3"/>
    </row>
    <row r="4" spans="1:6" x14ac:dyDescent="0.25">
      <c r="A4" s="6">
        <v>661</v>
      </c>
      <c r="B4" s="7"/>
      <c r="C4" s="11" t="s">
        <v>38</v>
      </c>
      <c r="D4" s="30">
        <v>1793880</v>
      </c>
      <c r="E4" s="107"/>
      <c r="F4" s="3"/>
    </row>
    <row r="5" spans="1:6" x14ac:dyDescent="0.25">
      <c r="A5" s="10">
        <v>663</v>
      </c>
      <c r="B5" s="5"/>
      <c r="C5" s="13" t="s">
        <v>39</v>
      </c>
      <c r="D5" s="104">
        <v>0</v>
      </c>
      <c r="E5" s="109"/>
      <c r="F5" s="3"/>
    </row>
    <row r="6" spans="1:6" ht="16.5" thickBot="1" x14ac:dyDescent="0.3">
      <c r="A6" s="8"/>
      <c r="B6" s="9">
        <v>422</v>
      </c>
      <c r="C6" s="12" t="s">
        <v>40</v>
      </c>
      <c r="D6" s="103"/>
      <c r="E6" s="108">
        <v>1793880</v>
      </c>
      <c r="F6" s="3"/>
    </row>
    <row r="7" spans="1:6" x14ac:dyDescent="0.25">
      <c r="A7" s="6">
        <v>422</v>
      </c>
      <c r="B7" s="7"/>
      <c r="C7" s="11" t="s">
        <v>40</v>
      </c>
      <c r="D7" s="30">
        <v>578489.28</v>
      </c>
      <c r="E7" s="107"/>
      <c r="F7" s="3"/>
    </row>
    <row r="8" spans="1:6" x14ac:dyDescent="0.25">
      <c r="A8" s="10"/>
      <c r="B8" s="5">
        <v>421</v>
      </c>
      <c r="C8" s="14" t="s">
        <v>26</v>
      </c>
      <c r="D8" s="104"/>
      <c r="E8" s="109">
        <v>100000</v>
      </c>
      <c r="F8" s="3"/>
    </row>
    <row r="9" spans="1:6" x14ac:dyDescent="0.25">
      <c r="A9" s="10"/>
      <c r="B9" s="5">
        <v>4313</v>
      </c>
      <c r="C9" s="14" t="s">
        <v>41</v>
      </c>
      <c r="D9" s="104"/>
      <c r="E9" s="109">
        <v>53697.279999999999</v>
      </c>
      <c r="F9" s="3"/>
    </row>
    <row r="10" spans="1:6" x14ac:dyDescent="0.25">
      <c r="A10" s="10"/>
      <c r="B10" s="5">
        <v>4314</v>
      </c>
      <c r="C10" s="14" t="s">
        <v>42</v>
      </c>
      <c r="D10" s="104"/>
      <c r="E10" s="109">
        <v>37320</v>
      </c>
      <c r="F10" s="3"/>
    </row>
    <row r="11" spans="1:6" x14ac:dyDescent="0.25">
      <c r="A11" s="10"/>
      <c r="B11" s="5">
        <v>4331</v>
      </c>
      <c r="C11" s="14" t="s">
        <v>43</v>
      </c>
      <c r="D11" s="104"/>
      <c r="E11" s="109">
        <v>8400</v>
      </c>
      <c r="F11" s="3"/>
    </row>
    <row r="12" spans="1:6" x14ac:dyDescent="0.25">
      <c r="A12" s="10"/>
      <c r="B12" s="5">
        <v>447</v>
      </c>
      <c r="C12" s="14" t="s">
        <v>305</v>
      </c>
      <c r="D12" s="104"/>
      <c r="E12" s="109">
        <v>379072</v>
      </c>
      <c r="F12" s="3"/>
    </row>
    <row r="13" spans="1:6" ht="16.5" thickBot="1" x14ac:dyDescent="0.3">
      <c r="A13" s="8"/>
      <c r="B13" s="9">
        <v>423</v>
      </c>
      <c r="C13" s="12" t="s">
        <v>3</v>
      </c>
      <c r="D13" s="103"/>
      <c r="E13" s="108">
        <v>0</v>
      </c>
      <c r="F13" s="3"/>
    </row>
    <row r="14" spans="1:6" ht="16.5" thickBot="1" x14ac:dyDescent="0.3">
      <c r="A14" s="6">
        <v>422</v>
      </c>
      <c r="B14" s="7"/>
      <c r="C14" s="15" t="s">
        <v>40</v>
      </c>
      <c r="D14" s="30">
        <v>1215390.72</v>
      </c>
      <c r="E14" s="107"/>
      <c r="F14" s="3"/>
    </row>
    <row r="15" spans="1:6" ht="16.5" thickBot="1" x14ac:dyDescent="0.3">
      <c r="A15" s="10">
        <v>423</v>
      </c>
      <c r="B15" s="5"/>
      <c r="C15" s="15" t="s">
        <v>3</v>
      </c>
      <c r="D15" s="104">
        <v>0</v>
      </c>
      <c r="E15" s="109"/>
      <c r="F15" s="3"/>
    </row>
    <row r="16" spans="1:6" ht="16.5" thickBot="1" x14ac:dyDescent="0.3">
      <c r="A16" s="8"/>
      <c r="B16" s="9">
        <v>521</v>
      </c>
      <c r="C16" s="12" t="s">
        <v>37</v>
      </c>
      <c r="D16" s="103"/>
      <c r="E16" s="108">
        <v>1215391</v>
      </c>
      <c r="F16" s="3"/>
    </row>
    <row r="17" spans="1:6" ht="19.5" thickBot="1" x14ac:dyDescent="0.35">
      <c r="A17" s="110" t="s">
        <v>36</v>
      </c>
      <c r="B17" s="111"/>
      <c r="C17" s="114"/>
      <c r="D17" s="115">
        <v>3687760</v>
      </c>
      <c r="E17" s="113">
        <v>3687760</v>
      </c>
      <c r="F17" s="3"/>
    </row>
    <row r="18" spans="1:6" x14ac:dyDescent="0.25">
      <c r="A18" s="4"/>
      <c r="B18" s="4"/>
      <c r="C18" s="4"/>
      <c r="D18" s="105"/>
      <c r="E18" s="105"/>
    </row>
  </sheetData>
  <customSheetViews>
    <customSheetView guid="{625BDD88-EAB4-4420-915B-3E9C847A7C67}">
      <selection activeCell="H7" sqref="H7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121" r:id="rId5" name="CommandButton1">
          <controlPr defaultSize="0" autoLine="0" autoPict="0" r:id="rId6">
            <anchor moveWithCells="1">
              <from>
                <xdr:col>6</xdr:col>
                <xdr:colOff>9525</xdr:colOff>
                <xdr:row>1</xdr:row>
                <xdr:rowOff>0</xdr:rowOff>
              </from>
              <to>
                <xdr:col>7</xdr:col>
                <xdr:colOff>742950</xdr:colOff>
                <xdr:row>2</xdr:row>
                <xdr:rowOff>200025</xdr:rowOff>
              </to>
            </anchor>
          </controlPr>
        </control>
      </mc:Choice>
      <mc:Fallback>
        <control shapeId="5121" r:id="rId5" name="CommandButton1"/>
      </mc:Fallback>
    </mc:AlternateContent>
    <mc:AlternateContent xmlns:mc="http://schemas.openxmlformats.org/markup-compatibility/2006">
      <mc:Choice Requires="x14">
        <control shapeId="5122" r:id="rId7" name="CommandButton2">
          <controlPr defaultSize="0" autoLine="0" autoPict="0" r:id="rId8">
            <anchor moveWithCells="1">
              <from>
                <xdr:col>5</xdr:col>
                <xdr:colOff>752475</xdr:colOff>
                <xdr:row>4</xdr:row>
                <xdr:rowOff>28575</xdr:rowOff>
              </from>
              <to>
                <xdr:col>7</xdr:col>
                <xdr:colOff>742950</xdr:colOff>
                <xdr:row>6</xdr:row>
                <xdr:rowOff>0</xdr:rowOff>
              </to>
            </anchor>
          </controlPr>
        </control>
      </mc:Choice>
      <mc:Fallback>
        <control shapeId="5122" r:id="rId7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E069B-9819-4914-B709-7BC961D41F01}">
  <sheetPr codeName="Feuil4"/>
  <dimension ref="A1:O38"/>
  <sheetViews>
    <sheetView topLeftCell="A19" zoomScale="96" zoomScaleNormal="96" workbookViewId="0">
      <selection activeCell="B39" sqref="B39"/>
    </sheetView>
  </sheetViews>
  <sheetFormatPr baseColWidth="10" defaultRowHeight="15.75" x14ac:dyDescent="0.25"/>
  <cols>
    <col min="1" max="1" width="11.42578125" style="32"/>
    <col min="2" max="2" width="29.7109375" style="32" customWidth="1"/>
    <col min="3" max="3" width="14.28515625" style="41" customWidth="1"/>
    <col min="4" max="5" width="11.28515625" style="41" customWidth="1"/>
    <col min="6" max="6" width="17.140625" style="41" customWidth="1"/>
    <col min="7" max="7" width="3.5703125" style="60" customWidth="1"/>
    <col min="8" max="8" width="11.42578125" style="41" customWidth="1"/>
    <col min="9" max="9" width="3.85546875" style="60" customWidth="1"/>
    <col min="10" max="10" width="11.28515625" style="41" customWidth="1"/>
    <col min="11" max="11" width="5.7109375" style="32" customWidth="1"/>
    <col min="12" max="12" width="11.42578125" style="32"/>
    <col min="13" max="13" width="5.28515625" style="31" customWidth="1"/>
    <col min="14" max="16384" width="11.42578125" style="31"/>
  </cols>
  <sheetData>
    <row r="1" spans="2:15" ht="13.5" customHeight="1" x14ac:dyDescent="0.25"/>
    <row r="2" spans="2:15" ht="21.75" customHeight="1" thickBot="1" x14ac:dyDescent="0.3">
      <c r="B2"/>
      <c r="C2" s="40"/>
      <c r="D2" s="40"/>
      <c r="E2" s="40"/>
      <c r="F2" s="40"/>
      <c r="G2" s="40"/>
      <c r="H2" s="40"/>
      <c r="I2" s="40"/>
      <c r="J2" s="40"/>
    </row>
    <row r="3" spans="2:15" ht="19.5" thickBot="1" x14ac:dyDescent="0.35">
      <c r="B3" s="34"/>
      <c r="C3" s="42"/>
      <c r="D3" s="54" t="s">
        <v>302</v>
      </c>
      <c r="E3" s="48"/>
      <c r="F3" s="48"/>
      <c r="G3" s="34"/>
      <c r="H3" s="48"/>
      <c r="I3" s="34"/>
      <c r="J3" s="48"/>
    </row>
    <row r="4" spans="2:15" x14ac:dyDescent="0.25">
      <c r="B4" s="35" t="s">
        <v>290</v>
      </c>
      <c r="C4" s="43" t="s">
        <v>310</v>
      </c>
      <c r="D4" s="43"/>
      <c r="E4" s="43"/>
      <c r="F4" s="43"/>
      <c r="G4" s="35"/>
      <c r="H4" s="49"/>
      <c r="I4" s="35"/>
      <c r="J4" s="49"/>
    </row>
    <row r="5" spans="2:15" x14ac:dyDescent="0.25">
      <c r="B5" s="36" t="s">
        <v>300</v>
      </c>
      <c r="C5" s="44" t="s">
        <v>136</v>
      </c>
      <c r="D5" s="44"/>
      <c r="E5" s="44"/>
      <c r="F5" s="44"/>
      <c r="G5" s="36" t="s">
        <v>301</v>
      </c>
      <c r="H5" s="67">
        <v>43955</v>
      </c>
      <c r="I5" s="36" t="s">
        <v>303</v>
      </c>
      <c r="J5" s="80">
        <v>43956</v>
      </c>
    </row>
    <row r="6" spans="2:15" x14ac:dyDescent="0.25">
      <c r="B6" s="36" t="s">
        <v>6</v>
      </c>
      <c r="C6" s="80" t="s">
        <v>306</v>
      </c>
      <c r="D6" s="44"/>
      <c r="E6" s="44"/>
      <c r="F6" s="44"/>
      <c r="G6" s="36"/>
      <c r="H6" s="44"/>
      <c r="I6" s="36"/>
      <c r="J6" s="44"/>
    </row>
    <row r="7" spans="2:15" x14ac:dyDescent="0.25">
      <c r="B7" s="36" t="s">
        <v>298</v>
      </c>
      <c r="C7" s="45">
        <v>34426</v>
      </c>
      <c r="D7" s="45"/>
      <c r="E7" s="45"/>
      <c r="F7" s="45"/>
      <c r="G7" s="36"/>
      <c r="H7" s="44"/>
      <c r="I7" s="36"/>
      <c r="J7" s="44"/>
    </row>
    <row r="8" spans="2:15" x14ac:dyDescent="0.25">
      <c r="B8" s="36" t="s">
        <v>299</v>
      </c>
      <c r="C8" s="44" t="s">
        <v>307</v>
      </c>
      <c r="D8" s="44"/>
      <c r="E8" s="44"/>
      <c r="F8" s="44"/>
      <c r="G8" s="36"/>
      <c r="H8" s="44"/>
      <c r="I8" s="36"/>
      <c r="J8" s="44"/>
    </row>
    <row r="9" spans="2:15" x14ac:dyDescent="0.25">
      <c r="B9" s="36" t="s">
        <v>45</v>
      </c>
      <c r="C9" s="44" t="s">
        <v>308</v>
      </c>
      <c r="D9" s="44"/>
      <c r="E9" s="44"/>
      <c r="F9" s="44"/>
      <c r="G9" s="36"/>
      <c r="H9" s="44"/>
      <c r="I9" s="36"/>
      <c r="J9" s="44"/>
    </row>
    <row r="10" spans="2:15" x14ac:dyDescent="0.25">
      <c r="B10" s="36" t="s">
        <v>7</v>
      </c>
      <c r="C10" s="44" t="s">
        <v>48</v>
      </c>
      <c r="D10" s="44"/>
      <c r="E10" s="44"/>
      <c r="F10" s="44"/>
      <c r="G10" s="36"/>
      <c r="H10" s="44"/>
      <c r="I10" s="36"/>
      <c r="J10" s="44"/>
    </row>
    <row r="11" spans="2:15" x14ac:dyDescent="0.25">
      <c r="B11" s="36" t="s">
        <v>8</v>
      </c>
      <c r="C11" s="44" t="s">
        <v>5</v>
      </c>
      <c r="D11" s="44"/>
      <c r="E11" s="44"/>
      <c r="F11" s="44"/>
      <c r="G11" s="36"/>
      <c r="H11" s="44"/>
      <c r="I11" s="36"/>
      <c r="J11" s="44"/>
    </row>
    <row r="12" spans="2:15" x14ac:dyDescent="0.25">
      <c r="B12" s="36" t="s">
        <v>9</v>
      </c>
      <c r="C12" s="44" t="s">
        <v>51</v>
      </c>
      <c r="D12" s="44"/>
      <c r="E12" s="44"/>
      <c r="F12" s="44"/>
      <c r="G12" s="36"/>
      <c r="H12" s="44"/>
      <c r="I12" s="36"/>
      <c r="J12" s="44"/>
      <c r="O12" s="32"/>
    </row>
    <row r="13" spans="2:15" x14ac:dyDescent="0.25">
      <c r="B13" s="36" t="s">
        <v>10</v>
      </c>
      <c r="C13" s="46">
        <v>0</v>
      </c>
      <c r="D13" s="46"/>
      <c r="E13" s="46"/>
      <c r="F13" s="46"/>
      <c r="G13" s="36"/>
      <c r="H13" s="44"/>
      <c r="I13" s="36"/>
      <c r="J13" s="44"/>
    </row>
    <row r="14" spans="2:15" ht="15.75" customHeight="1" x14ac:dyDescent="0.25">
      <c r="B14" s="36" t="s">
        <v>11</v>
      </c>
      <c r="C14" s="46">
        <v>0</v>
      </c>
      <c r="D14" s="46"/>
      <c r="E14" s="46"/>
      <c r="F14" s="46"/>
      <c r="G14" s="36"/>
      <c r="H14" s="44"/>
      <c r="I14" s="36"/>
      <c r="J14" s="44"/>
    </row>
    <row r="15" spans="2:15" ht="15.75" customHeight="1" thickBot="1" x14ac:dyDescent="0.3">
      <c r="B15" s="37" t="s">
        <v>12</v>
      </c>
      <c r="C15" s="47" t="s">
        <v>46</v>
      </c>
      <c r="D15" s="47"/>
      <c r="E15" s="47"/>
      <c r="F15" s="47"/>
      <c r="G15" s="37"/>
      <c r="H15" s="47"/>
      <c r="I15" s="37"/>
      <c r="J15" s="47"/>
    </row>
    <row r="16" spans="2:15" ht="16.5" thickBot="1" x14ac:dyDescent="0.3">
      <c r="B16" s="34"/>
      <c r="C16" s="101"/>
      <c r="D16" s="48"/>
      <c r="E16" s="48"/>
      <c r="F16" s="55"/>
      <c r="G16" s="61"/>
      <c r="H16" s="55"/>
      <c r="I16" s="34"/>
      <c r="J16" s="48"/>
    </row>
    <row r="17" spans="2:10" x14ac:dyDescent="0.25">
      <c r="B17" s="35" t="s">
        <v>13</v>
      </c>
      <c r="C17" s="51"/>
      <c r="D17" s="49"/>
      <c r="E17" s="49"/>
      <c r="F17" s="56"/>
      <c r="G17" s="62"/>
      <c r="H17" s="68"/>
      <c r="I17" s="73"/>
      <c r="J17" s="81">
        <v>150000</v>
      </c>
    </row>
    <row r="18" spans="2:10" x14ac:dyDescent="0.25">
      <c r="B18" s="36" t="s">
        <v>0</v>
      </c>
      <c r="C18" s="52"/>
      <c r="D18" s="44"/>
      <c r="E18" s="44"/>
      <c r="F18" s="57"/>
      <c r="G18" s="63"/>
      <c r="H18" s="69"/>
      <c r="I18" s="74"/>
      <c r="J18" s="82">
        <v>500000</v>
      </c>
    </row>
    <row r="19" spans="2:10" x14ac:dyDescent="0.25">
      <c r="B19" s="36" t="s">
        <v>14</v>
      </c>
      <c r="C19" s="52"/>
      <c r="D19" s="44"/>
      <c r="E19" s="44"/>
      <c r="F19" s="57"/>
      <c r="G19" s="63"/>
      <c r="H19" s="69"/>
      <c r="I19" s="74"/>
      <c r="J19" s="82">
        <v>0</v>
      </c>
    </row>
    <row r="20" spans="2:10" x14ac:dyDescent="0.25">
      <c r="B20" s="36" t="s">
        <v>15</v>
      </c>
      <c r="C20" s="52"/>
      <c r="D20" s="44"/>
      <c r="E20" s="44"/>
      <c r="F20" s="57"/>
      <c r="G20" s="63"/>
      <c r="H20" s="69"/>
      <c r="I20" s="74"/>
      <c r="J20" s="82">
        <v>0</v>
      </c>
    </row>
    <row r="21" spans="2:10" x14ac:dyDescent="0.25">
      <c r="B21" s="36" t="s">
        <v>16</v>
      </c>
      <c r="C21" s="52"/>
      <c r="D21" s="44"/>
      <c r="E21" s="44"/>
      <c r="F21" s="57"/>
      <c r="G21" s="63"/>
      <c r="H21" s="69"/>
      <c r="I21" s="74"/>
      <c r="J21" s="82">
        <v>0</v>
      </c>
    </row>
    <row r="22" spans="2:10" x14ac:dyDescent="0.25">
      <c r="B22" s="36" t="s">
        <v>17</v>
      </c>
      <c r="C22" s="52"/>
      <c r="D22" s="44"/>
      <c r="E22" s="44"/>
      <c r="F22" s="57"/>
      <c r="G22" s="63"/>
      <c r="H22" s="69"/>
      <c r="I22" s="74"/>
      <c r="J22" s="82">
        <v>0</v>
      </c>
    </row>
    <row r="23" spans="2:10" ht="16.5" thickBot="1" x14ac:dyDescent="0.3">
      <c r="B23" s="36" t="s">
        <v>18</v>
      </c>
      <c r="C23" s="53"/>
      <c r="D23" s="47"/>
      <c r="E23" s="47"/>
      <c r="F23" s="58"/>
      <c r="G23" s="63"/>
      <c r="H23" s="69"/>
      <c r="I23" s="74"/>
      <c r="J23" s="82">
        <v>5000</v>
      </c>
    </row>
    <row r="24" spans="2:10" ht="16.5" thickBot="1" x14ac:dyDescent="0.3">
      <c r="B24" s="38" t="s">
        <v>20</v>
      </c>
      <c r="C24" s="102"/>
      <c r="D24" s="50"/>
      <c r="E24" s="50"/>
      <c r="F24" s="59"/>
      <c r="G24" s="64"/>
      <c r="H24" s="70">
        <v>655000</v>
      </c>
      <c r="I24" s="75"/>
      <c r="J24" s="83">
        <v>655000</v>
      </c>
    </row>
    <row r="25" spans="2:10" ht="15.75" customHeight="1" thickBot="1" x14ac:dyDescent="0.3">
      <c r="B25" s="36" t="s">
        <v>1</v>
      </c>
      <c r="C25" s="101"/>
      <c r="D25" s="48"/>
      <c r="E25" s="48"/>
      <c r="F25" s="55"/>
      <c r="G25" s="63"/>
      <c r="H25" s="69">
        <v>0</v>
      </c>
      <c r="I25" s="76"/>
      <c r="J25" s="48"/>
    </row>
    <row r="26" spans="2:10" ht="16.5" thickBot="1" x14ac:dyDescent="0.3">
      <c r="B26" s="38" t="s">
        <v>21</v>
      </c>
      <c r="C26" s="102"/>
      <c r="D26" s="50"/>
      <c r="E26" s="50"/>
      <c r="F26" s="59"/>
      <c r="G26" s="64"/>
      <c r="H26" s="70">
        <v>655000</v>
      </c>
      <c r="I26" s="77"/>
      <c r="J26" s="48"/>
    </row>
    <row r="27" spans="2:10" x14ac:dyDescent="0.25">
      <c r="B27" s="35"/>
      <c r="C27" s="51" t="s">
        <v>22</v>
      </c>
      <c r="D27" s="49"/>
      <c r="E27" s="49"/>
      <c r="F27" s="56"/>
      <c r="G27" s="62"/>
      <c r="H27" s="68">
        <v>20160</v>
      </c>
      <c r="I27" s="73"/>
      <c r="J27" s="81"/>
    </row>
    <row r="28" spans="2:10" x14ac:dyDescent="0.25">
      <c r="B28" s="36"/>
      <c r="C28" s="52" t="s">
        <v>23</v>
      </c>
      <c r="D28" s="44"/>
      <c r="E28" s="44"/>
      <c r="F28" s="57"/>
      <c r="G28" s="63"/>
      <c r="H28" s="69">
        <v>15720</v>
      </c>
      <c r="I28" s="74"/>
      <c r="J28" s="82"/>
    </row>
    <row r="29" spans="2:10" x14ac:dyDescent="0.25">
      <c r="B29" s="36"/>
      <c r="C29" s="52" t="s">
        <v>2</v>
      </c>
      <c r="D29" s="44"/>
      <c r="E29" s="44"/>
      <c r="F29" s="57"/>
      <c r="G29" s="63"/>
      <c r="H29" s="69"/>
      <c r="I29" s="74"/>
      <c r="J29" s="82"/>
    </row>
    <row r="30" spans="2:10" x14ac:dyDescent="0.25">
      <c r="B30" s="100" t="s">
        <v>28</v>
      </c>
      <c r="C30" s="52" t="s">
        <v>24</v>
      </c>
      <c r="D30" s="44"/>
      <c r="E30" s="44"/>
      <c r="F30" s="57"/>
      <c r="G30" s="63"/>
      <c r="H30" s="69">
        <v>3600</v>
      </c>
      <c r="I30" s="74"/>
      <c r="J30" s="82"/>
    </row>
    <row r="31" spans="2:10" x14ac:dyDescent="0.25">
      <c r="B31" s="36"/>
      <c r="C31" s="52" t="s">
        <v>25</v>
      </c>
      <c r="D31" s="44"/>
      <c r="E31" s="44"/>
      <c r="F31" s="57"/>
      <c r="G31" s="63"/>
      <c r="H31" s="69">
        <v>163333</v>
      </c>
      <c r="I31" s="74"/>
      <c r="J31" s="82"/>
    </row>
    <row r="32" spans="2:10" ht="15.75" customHeight="1" x14ac:dyDescent="0.25">
      <c r="B32" s="36"/>
      <c r="C32" s="52" t="s">
        <v>26</v>
      </c>
      <c r="D32" s="44"/>
      <c r="E32" s="44"/>
      <c r="F32" s="57"/>
      <c r="G32" s="63"/>
      <c r="H32" s="69">
        <v>0</v>
      </c>
      <c r="I32" s="74"/>
      <c r="J32" s="82"/>
    </row>
    <row r="33" spans="2:10" ht="15.75" customHeight="1" thickBot="1" x14ac:dyDescent="0.3">
      <c r="B33" s="37"/>
      <c r="C33" s="53" t="s">
        <v>3</v>
      </c>
      <c r="D33" s="47"/>
      <c r="E33" s="47"/>
      <c r="F33" s="58"/>
      <c r="G33" s="65"/>
      <c r="H33" s="71">
        <v>0</v>
      </c>
      <c r="I33" s="78"/>
      <c r="J33" s="84"/>
    </row>
    <row r="34" spans="2:10" ht="15.75" customHeight="1" thickBot="1" x14ac:dyDescent="0.3">
      <c r="B34" s="38" t="s">
        <v>27</v>
      </c>
      <c r="C34" s="102"/>
      <c r="D34" s="50"/>
      <c r="E34" s="50"/>
      <c r="F34" s="59"/>
      <c r="G34" s="64"/>
      <c r="H34" s="70">
        <v>202813</v>
      </c>
      <c r="I34" s="75"/>
      <c r="J34" s="70">
        <v>202813</v>
      </c>
    </row>
    <row r="35" spans="2:10" ht="15.75" customHeight="1" thickBot="1" x14ac:dyDescent="0.3">
      <c r="B35" s="38" t="s">
        <v>29</v>
      </c>
      <c r="C35" s="102"/>
      <c r="D35" s="50"/>
      <c r="E35" s="50"/>
      <c r="F35" s="59"/>
      <c r="G35" s="64"/>
      <c r="H35" s="70"/>
      <c r="I35" s="75"/>
      <c r="J35" s="83">
        <v>452187</v>
      </c>
    </row>
    <row r="36" spans="2:10" ht="15.75" customHeight="1" thickBot="1" x14ac:dyDescent="0.3">
      <c r="B36" s="36" t="s">
        <v>19</v>
      </c>
      <c r="C36" s="101"/>
      <c r="D36" s="48"/>
      <c r="E36" s="48"/>
      <c r="F36" s="55"/>
      <c r="G36" s="63"/>
      <c r="H36" s="69"/>
      <c r="I36" s="74"/>
      <c r="J36" s="82">
        <v>16500</v>
      </c>
    </row>
    <row r="37" spans="2:10" ht="16.5" thickBot="1" x14ac:dyDescent="0.3">
      <c r="B37" s="39" t="s">
        <v>30</v>
      </c>
      <c r="C37" s="102"/>
      <c r="D37" s="50"/>
      <c r="E37" s="50"/>
      <c r="F37" s="59"/>
      <c r="G37" s="66"/>
      <c r="H37" s="72"/>
      <c r="I37" s="79"/>
      <c r="J37" s="85">
        <v>468687</v>
      </c>
    </row>
    <row r="38" spans="2:10" x14ac:dyDescent="0.25">
      <c r="B38" s="32" t="s">
        <v>44</v>
      </c>
    </row>
  </sheetData>
  <sheetProtection formatCells="0"/>
  <customSheetViews>
    <customSheetView guid="{625BDD88-EAB4-4420-915B-3E9C847A7C67}" scale="98" showPageBreaks="1">
      <selection activeCell="N5" sqref="N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075" r:id="rId5" name="CommandButton3">
          <controlPr defaultSize="0" autoLine="0" r:id="rId6">
            <anchor moveWithCells="1">
              <from>
                <xdr:col>12</xdr:col>
                <xdr:colOff>0</xdr:colOff>
                <xdr:row>14</xdr:row>
                <xdr:rowOff>95250</xdr:rowOff>
              </from>
              <to>
                <xdr:col>14</xdr:col>
                <xdr:colOff>742950</xdr:colOff>
                <xdr:row>16</xdr:row>
                <xdr:rowOff>104775</xdr:rowOff>
              </to>
            </anchor>
          </controlPr>
        </control>
      </mc:Choice>
      <mc:Fallback>
        <control shapeId="3075" r:id="rId5" name="CommandButton3"/>
      </mc:Fallback>
    </mc:AlternateContent>
    <mc:AlternateContent xmlns:mc="http://schemas.openxmlformats.org/markup-compatibility/2006">
      <mc:Choice Requires="x14">
        <control shapeId="3073" r:id="rId7" name="CommandButton1">
          <controlPr defaultSize="0" autoLine="0" r:id="rId8">
            <anchor moveWithCells="1">
              <from>
                <xdr:col>11</xdr:col>
                <xdr:colOff>742950</xdr:colOff>
                <xdr:row>6</xdr:row>
                <xdr:rowOff>123825</xdr:rowOff>
              </from>
              <to>
                <xdr:col>14</xdr:col>
                <xdr:colOff>723900</xdr:colOff>
                <xdr:row>8</xdr:row>
                <xdr:rowOff>104775</xdr:rowOff>
              </to>
            </anchor>
          </controlPr>
        </control>
      </mc:Choice>
      <mc:Fallback>
        <control shapeId="3073" r:id="rId7" name="CommandButton1"/>
      </mc:Fallback>
    </mc:AlternateContent>
    <mc:AlternateContent xmlns:mc="http://schemas.openxmlformats.org/markup-compatibility/2006">
      <mc:Choice Requires="x14">
        <control shapeId="3082" r:id="rId9" name="CommandButton2">
          <controlPr defaultSize="0" autoLine="0" r:id="rId10">
            <anchor moveWithCells="1">
              <from>
                <xdr:col>11</xdr:col>
                <xdr:colOff>733425</xdr:colOff>
                <xdr:row>10</xdr:row>
                <xdr:rowOff>95250</xdr:rowOff>
              </from>
              <to>
                <xdr:col>14</xdr:col>
                <xdr:colOff>714375</xdr:colOff>
                <xdr:row>12</xdr:row>
                <xdr:rowOff>85725</xdr:rowOff>
              </to>
            </anchor>
          </controlPr>
        </control>
      </mc:Choice>
      <mc:Fallback>
        <control shapeId="3082" r:id="rId9" name="CommandButton2"/>
      </mc:Fallback>
    </mc:AlternateContent>
  </controls>
  <tableParts count="1"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DE6A2-F215-409A-9022-94FAD2D17575}">
  <sheetPr codeName="Feuil2"/>
  <dimension ref="A1:A2"/>
  <sheetViews>
    <sheetView workbookViewId="0">
      <selection activeCell="B6" sqref="B6"/>
    </sheetView>
  </sheetViews>
  <sheetFormatPr baseColWidth="10" defaultRowHeight="15" x14ac:dyDescent="0.25"/>
  <sheetData>
    <row r="1" spans="1:1" x14ac:dyDescent="0.25">
      <c r="A1" t="s">
        <v>47</v>
      </c>
    </row>
    <row r="2" spans="1:1" x14ac:dyDescent="0.25">
      <c r="A2" t="s">
        <v>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A7B87-FBAA-484E-AE6F-32CB285AC24E}">
  <sheetPr codeName="Feuil7"/>
  <dimension ref="A1:A3"/>
  <sheetViews>
    <sheetView workbookViewId="0">
      <selection activeCell="B4" sqref="B4"/>
    </sheetView>
  </sheetViews>
  <sheetFormatPr baseColWidth="10" defaultRowHeight="15" x14ac:dyDescent="0.25"/>
  <sheetData>
    <row r="1" spans="1:1" x14ac:dyDescent="0.25">
      <c r="A1" t="s">
        <v>5</v>
      </c>
    </row>
    <row r="2" spans="1:1" x14ac:dyDescent="0.25">
      <c r="A2" t="s">
        <v>49</v>
      </c>
    </row>
    <row r="3" spans="1:1" x14ac:dyDescent="0.25">
      <c r="A3" t="s">
        <v>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D37A5-C868-40AE-9ED4-0B67D0469282}">
  <sheetPr codeName="Feuil8"/>
  <dimension ref="A1:A4"/>
  <sheetViews>
    <sheetView workbookViewId="0">
      <selection activeCell="B7" sqref="B7"/>
    </sheetView>
  </sheetViews>
  <sheetFormatPr baseColWidth="10" defaultRowHeight="15" x14ac:dyDescent="0.25"/>
  <sheetData>
    <row r="1" spans="1:1" x14ac:dyDescent="0.25">
      <c r="A1" t="s">
        <v>51</v>
      </c>
    </row>
    <row r="2" spans="1:1" x14ac:dyDescent="0.25">
      <c r="A2" t="s">
        <v>52</v>
      </c>
    </row>
    <row r="3" spans="1:1" x14ac:dyDescent="0.25">
      <c r="A3" t="s">
        <v>53</v>
      </c>
    </row>
    <row r="4" spans="1:1" x14ac:dyDescent="0.25">
      <c r="A4" t="s">
        <v>54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70125-DEB8-4B18-AABB-C7EFE1C97546}">
  <sheetPr codeName="Feuil9"/>
  <dimension ref="A1:A2"/>
  <sheetViews>
    <sheetView workbookViewId="0">
      <selection activeCell="A3" sqref="A3"/>
    </sheetView>
  </sheetViews>
  <sheetFormatPr baseColWidth="10" defaultRowHeight="15" x14ac:dyDescent="0.25"/>
  <sheetData>
    <row r="1" spans="1:1" x14ac:dyDescent="0.25">
      <c r="A1" t="s">
        <v>46</v>
      </c>
    </row>
    <row r="2" spans="1:1" x14ac:dyDescent="0.25">
      <c r="A2" t="s">
        <v>55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01066-A643-42D6-A1CA-0991DD47475E}">
  <sheetPr codeName="Feuil10"/>
  <dimension ref="A1:X51"/>
  <sheetViews>
    <sheetView workbookViewId="0">
      <pane ySplit="1" topLeftCell="A2" activePane="bottomLeft" state="frozen"/>
      <selection pane="bottomLeft" activeCell="F10" sqref="F10"/>
    </sheetView>
  </sheetViews>
  <sheetFormatPr baseColWidth="10" defaultRowHeight="15.75" x14ac:dyDescent="0.25"/>
  <cols>
    <col min="1" max="1" width="6.7109375" style="20" customWidth="1"/>
    <col min="2" max="2" width="20.85546875" style="19" customWidth="1"/>
    <col min="3" max="3" width="26.140625" style="19" customWidth="1"/>
    <col min="4" max="4" width="13.28515625" style="19" customWidth="1"/>
    <col min="5" max="5" width="16.42578125" style="28" customWidth="1"/>
    <col min="6" max="6" width="15.28515625" style="19" customWidth="1"/>
    <col min="7" max="7" width="11.42578125" style="19"/>
    <col min="8" max="8" width="15" style="19" customWidth="1"/>
    <col min="9" max="9" width="15.7109375" style="19" customWidth="1"/>
    <col min="10" max="10" width="18.5703125" style="17" customWidth="1"/>
    <col min="11" max="11" width="16.5703125" style="17" customWidth="1"/>
    <col min="12" max="12" width="14.85546875" style="17" customWidth="1"/>
    <col min="13" max="13" width="16.85546875" style="17" customWidth="1"/>
    <col min="14" max="14" width="16.42578125" style="17" customWidth="1"/>
    <col min="15" max="15" width="16" style="17" customWidth="1"/>
    <col min="16" max="16" width="18.140625" style="17" customWidth="1"/>
    <col min="17" max="17" width="11.140625" style="17" customWidth="1"/>
    <col min="18" max="18" width="15.5703125" style="17" customWidth="1"/>
    <col min="19" max="19" width="15.28515625" style="17" customWidth="1"/>
    <col min="20" max="20" width="10.5703125" style="19" customWidth="1"/>
    <col min="21" max="21" width="17.28515625" style="17" customWidth="1"/>
    <col min="22" max="22" width="15.5703125" style="17" customWidth="1"/>
    <col min="23" max="23" width="12.5703125" style="17" customWidth="1"/>
    <col min="24" max="24" width="12.7109375" style="17" customWidth="1"/>
    <col min="25" max="25" width="13.140625" style="18" customWidth="1"/>
    <col min="26" max="16384" width="11.42578125" style="18"/>
  </cols>
  <sheetData>
    <row r="1" spans="1:23" ht="21" customHeight="1" x14ac:dyDescent="0.25">
      <c r="A1" s="93" t="s">
        <v>57</v>
      </c>
      <c r="B1" s="94" t="s">
        <v>58</v>
      </c>
      <c r="C1" s="94" t="s">
        <v>59</v>
      </c>
      <c r="D1" s="94" t="s">
        <v>60</v>
      </c>
      <c r="E1" s="94" t="s">
        <v>61</v>
      </c>
      <c r="F1" s="94" t="s">
        <v>62</v>
      </c>
      <c r="G1" s="94" t="s">
        <v>63</v>
      </c>
      <c r="H1" s="94" t="s">
        <v>65</v>
      </c>
      <c r="I1" s="94" t="s">
        <v>64</v>
      </c>
      <c r="J1" s="94" t="s">
        <v>66</v>
      </c>
      <c r="K1" s="94" t="s">
        <v>67</v>
      </c>
      <c r="L1" s="94" t="s">
        <v>0</v>
      </c>
      <c r="M1" s="94" t="s">
        <v>68</v>
      </c>
      <c r="N1" s="94" t="s">
        <v>69</v>
      </c>
      <c r="O1" s="94" t="s">
        <v>70</v>
      </c>
      <c r="P1" s="94" t="s">
        <v>71</v>
      </c>
      <c r="Q1" s="95" t="s">
        <v>72</v>
      </c>
      <c r="R1" s="95" t="s">
        <v>1</v>
      </c>
      <c r="S1" s="95" t="s">
        <v>73</v>
      </c>
      <c r="T1" s="96" t="s">
        <v>2</v>
      </c>
      <c r="U1" s="95" t="s">
        <v>74</v>
      </c>
      <c r="V1" s="97" t="s">
        <v>3</v>
      </c>
      <c r="W1" s="16"/>
    </row>
    <row r="2" spans="1:23" x14ac:dyDescent="0.25">
      <c r="A2" s="86">
        <v>1</v>
      </c>
      <c r="B2" s="24" t="s">
        <v>75</v>
      </c>
      <c r="C2" s="24" t="s">
        <v>76</v>
      </c>
      <c r="D2" s="24" t="s">
        <v>77</v>
      </c>
      <c r="E2" s="27">
        <v>30568</v>
      </c>
      <c r="F2" s="24" t="s">
        <v>78</v>
      </c>
      <c r="G2" s="24" t="s">
        <v>79</v>
      </c>
      <c r="H2" s="24" t="s">
        <v>49</v>
      </c>
      <c r="I2" s="24" t="s">
        <v>52</v>
      </c>
      <c r="J2" s="25">
        <v>1</v>
      </c>
      <c r="K2" s="25">
        <v>3</v>
      </c>
      <c r="L2" s="25"/>
      <c r="M2" s="25"/>
      <c r="N2" s="25"/>
      <c r="O2" s="25"/>
      <c r="P2" s="25">
        <v>4</v>
      </c>
      <c r="Q2" s="25"/>
      <c r="R2" s="25"/>
      <c r="S2" s="25">
        <v>0</v>
      </c>
      <c r="T2" s="24" t="s">
        <v>80</v>
      </c>
      <c r="U2" s="25">
        <v>25000</v>
      </c>
      <c r="V2" s="87"/>
    </row>
    <row r="3" spans="1:23" x14ac:dyDescent="0.25">
      <c r="A3" s="86">
        <v>2</v>
      </c>
      <c r="B3" s="24" t="s">
        <v>81</v>
      </c>
      <c r="C3" s="24" t="s">
        <v>82</v>
      </c>
      <c r="D3" s="24" t="s">
        <v>83</v>
      </c>
      <c r="E3" s="27" t="s">
        <v>84</v>
      </c>
      <c r="F3" s="24" t="s">
        <v>85</v>
      </c>
      <c r="G3" s="24" t="s">
        <v>79</v>
      </c>
      <c r="H3" s="24" t="s">
        <v>49</v>
      </c>
      <c r="I3" s="24" t="s">
        <v>51</v>
      </c>
      <c r="J3" s="25">
        <v>0</v>
      </c>
      <c r="K3" s="25">
        <v>0</v>
      </c>
      <c r="L3" s="25"/>
      <c r="M3" s="25">
        <v>8</v>
      </c>
      <c r="N3" s="25">
        <v>4</v>
      </c>
      <c r="O3" s="25"/>
      <c r="P3" s="25">
        <v>3</v>
      </c>
      <c r="Q3" s="25">
        <v>15000</v>
      </c>
      <c r="R3" s="25"/>
      <c r="S3" s="25">
        <v>12500</v>
      </c>
      <c r="T3" s="25"/>
      <c r="U3" s="25"/>
      <c r="V3" s="87"/>
    </row>
    <row r="4" spans="1:23" x14ac:dyDescent="0.25">
      <c r="A4" s="86">
        <v>3</v>
      </c>
      <c r="B4" s="24" t="s">
        <v>86</v>
      </c>
      <c r="C4" s="24" t="s">
        <v>87</v>
      </c>
      <c r="D4" s="24" t="s">
        <v>88</v>
      </c>
      <c r="E4" s="27" t="s">
        <v>89</v>
      </c>
      <c r="F4" s="24" t="s">
        <v>90</v>
      </c>
      <c r="G4" s="24" t="s">
        <v>79</v>
      </c>
      <c r="H4" s="24" t="s">
        <v>49</v>
      </c>
      <c r="I4" s="24" t="s">
        <v>52</v>
      </c>
      <c r="J4" s="25">
        <v>2</v>
      </c>
      <c r="K4" s="25">
        <v>6</v>
      </c>
      <c r="L4" s="25"/>
      <c r="M4" s="25"/>
      <c r="N4" s="25"/>
      <c r="O4" s="25">
        <v>6</v>
      </c>
      <c r="P4" s="25">
        <v>2</v>
      </c>
      <c r="Q4" s="25"/>
      <c r="R4" s="25"/>
      <c r="S4" s="25">
        <v>20000</v>
      </c>
      <c r="T4" s="24" t="s">
        <v>91</v>
      </c>
      <c r="U4" s="25"/>
      <c r="V4" s="87"/>
    </row>
    <row r="5" spans="1:23" x14ac:dyDescent="0.25">
      <c r="A5" s="86">
        <v>4</v>
      </c>
      <c r="B5" s="24" t="s">
        <v>92</v>
      </c>
      <c r="C5" s="24" t="s">
        <v>93</v>
      </c>
      <c r="D5" s="24" t="s">
        <v>94</v>
      </c>
      <c r="E5" s="27" t="s">
        <v>95</v>
      </c>
      <c r="F5" s="24" t="s">
        <v>96</v>
      </c>
      <c r="G5" s="24" t="s">
        <v>79</v>
      </c>
      <c r="H5" s="24" t="s">
        <v>50</v>
      </c>
      <c r="I5" s="24" t="s">
        <v>52</v>
      </c>
      <c r="J5" s="25">
        <v>1</v>
      </c>
      <c r="K5" s="25">
        <v>1</v>
      </c>
      <c r="L5" s="25"/>
      <c r="M5" s="25">
        <v>8</v>
      </c>
      <c r="N5" s="25">
        <v>4</v>
      </c>
      <c r="O5" s="25"/>
      <c r="P5" s="25"/>
      <c r="Q5" s="25">
        <v>10000</v>
      </c>
      <c r="R5" s="25"/>
      <c r="S5" s="25"/>
      <c r="T5" s="24"/>
      <c r="U5" s="25"/>
      <c r="V5" s="87"/>
    </row>
    <row r="6" spans="1:23" x14ac:dyDescent="0.25">
      <c r="A6" s="86">
        <v>5</v>
      </c>
      <c r="B6" s="24" t="s">
        <v>97</v>
      </c>
      <c r="C6" s="24" t="s">
        <v>98</v>
      </c>
      <c r="D6" s="24" t="s">
        <v>99</v>
      </c>
      <c r="E6" s="27" t="s">
        <v>100</v>
      </c>
      <c r="F6" s="24" t="s">
        <v>101</v>
      </c>
      <c r="G6" s="24" t="s">
        <v>79</v>
      </c>
      <c r="H6" s="24" t="s">
        <v>50</v>
      </c>
      <c r="I6" s="24" t="s">
        <v>51</v>
      </c>
      <c r="J6" s="25">
        <v>0</v>
      </c>
      <c r="K6" s="25">
        <v>1</v>
      </c>
      <c r="L6" s="25">
        <v>15000</v>
      </c>
      <c r="M6" s="25">
        <v>8</v>
      </c>
      <c r="N6" s="25">
        <v>4</v>
      </c>
      <c r="O6" s="25">
        <v>4</v>
      </c>
      <c r="P6" s="25">
        <v>2</v>
      </c>
      <c r="Q6" s="25"/>
      <c r="R6" s="25">
        <v>35000</v>
      </c>
      <c r="S6" s="25"/>
      <c r="T6" s="24" t="s">
        <v>102</v>
      </c>
      <c r="U6" s="25">
        <v>30000</v>
      </c>
      <c r="V6" s="87">
        <v>20000</v>
      </c>
    </row>
    <row r="7" spans="1:23" x14ac:dyDescent="0.25">
      <c r="A7" s="86">
        <v>6</v>
      </c>
      <c r="B7" s="24" t="s">
        <v>103</v>
      </c>
      <c r="C7" s="24" t="s">
        <v>104</v>
      </c>
      <c r="D7" s="24" t="s">
        <v>105</v>
      </c>
      <c r="E7" s="27">
        <v>29138</v>
      </c>
      <c r="F7" s="24" t="s">
        <v>106</v>
      </c>
      <c r="G7" s="24" t="s">
        <v>79</v>
      </c>
      <c r="H7" s="24" t="s">
        <v>50</v>
      </c>
      <c r="I7" s="24" t="s">
        <v>51</v>
      </c>
      <c r="J7" s="25">
        <v>0</v>
      </c>
      <c r="K7" s="25">
        <v>0</v>
      </c>
      <c r="L7" s="25"/>
      <c r="M7" s="25"/>
      <c r="N7" s="25"/>
      <c r="O7" s="25"/>
      <c r="P7" s="25"/>
      <c r="Q7" s="25"/>
      <c r="R7" s="26"/>
      <c r="S7" s="25"/>
      <c r="T7" s="24" t="s">
        <v>107</v>
      </c>
      <c r="U7" s="25"/>
      <c r="V7" s="87"/>
    </row>
    <row r="8" spans="1:23" x14ac:dyDescent="0.25">
      <c r="A8" s="86">
        <v>7</v>
      </c>
      <c r="B8" s="24" t="s">
        <v>112</v>
      </c>
      <c r="C8" s="24" t="s">
        <v>113</v>
      </c>
      <c r="D8" s="24" t="s">
        <v>108</v>
      </c>
      <c r="E8" s="27" t="s">
        <v>109</v>
      </c>
      <c r="F8" s="24" t="s">
        <v>110</v>
      </c>
      <c r="G8" s="24" t="s">
        <v>111</v>
      </c>
      <c r="H8" s="24" t="s">
        <v>5</v>
      </c>
      <c r="I8" s="24" t="s">
        <v>52</v>
      </c>
      <c r="J8" s="25">
        <v>0</v>
      </c>
      <c r="K8" s="25">
        <v>4</v>
      </c>
      <c r="L8" s="25"/>
      <c r="M8" s="25"/>
      <c r="N8" s="25"/>
      <c r="O8" s="25"/>
      <c r="P8" s="25"/>
      <c r="Q8" s="25">
        <v>10000</v>
      </c>
      <c r="R8" s="25">
        <v>60000</v>
      </c>
      <c r="S8" s="25"/>
      <c r="T8" s="24"/>
      <c r="U8" s="25"/>
      <c r="V8" s="87"/>
    </row>
    <row r="9" spans="1:23" x14ac:dyDescent="0.25">
      <c r="A9" s="86">
        <v>8</v>
      </c>
      <c r="B9" s="24" t="s">
        <v>114</v>
      </c>
      <c r="C9" s="24" t="s">
        <v>115</v>
      </c>
      <c r="D9" s="24" t="s">
        <v>116</v>
      </c>
      <c r="E9" s="27" t="s">
        <v>117</v>
      </c>
      <c r="F9" s="24" t="s">
        <v>78</v>
      </c>
      <c r="G9" s="24" t="s">
        <v>111</v>
      </c>
      <c r="H9" s="24" t="s">
        <v>5</v>
      </c>
      <c r="I9" s="24" t="s">
        <v>51</v>
      </c>
      <c r="J9" s="25">
        <v>0</v>
      </c>
      <c r="K9" s="25">
        <v>0</v>
      </c>
      <c r="L9" s="25"/>
      <c r="M9" s="25"/>
      <c r="N9" s="25"/>
      <c r="O9" s="25"/>
      <c r="P9" s="25"/>
      <c r="Q9" s="25"/>
      <c r="R9" s="25"/>
      <c r="S9" s="25"/>
      <c r="T9" s="24" t="s">
        <v>118</v>
      </c>
      <c r="U9" s="25"/>
      <c r="V9" s="87"/>
    </row>
    <row r="10" spans="1:23" x14ac:dyDescent="0.25">
      <c r="A10" s="86">
        <v>9</v>
      </c>
      <c r="B10" s="24" t="s">
        <v>119</v>
      </c>
      <c r="C10" s="24" t="s">
        <v>120</v>
      </c>
      <c r="D10" s="24" t="s">
        <v>116</v>
      </c>
      <c r="E10" s="27">
        <v>29260</v>
      </c>
      <c r="F10" s="24" t="s">
        <v>110</v>
      </c>
      <c r="G10" s="24" t="s">
        <v>79</v>
      </c>
      <c r="H10" s="24" t="s">
        <v>5</v>
      </c>
      <c r="I10" s="24" t="s">
        <v>52</v>
      </c>
      <c r="J10" s="25">
        <v>3</v>
      </c>
      <c r="K10" s="25">
        <v>8</v>
      </c>
      <c r="L10" s="25"/>
      <c r="M10" s="25"/>
      <c r="N10" s="25"/>
      <c r="O10" s="25"/>
      <c r="P10" s="25"/>
      <c r="Q10" s="25"/>
      <c r="R10" s="25">
        <v>37500</v>
      </c>
      <c r="S10" s="25"/>
      <c r="T10" s="24" t="s">
        <v>118</v>
      </c>
      <c r="U10" s="25">
        <v>55000</v>
      </c>
      <c r="V10" s="87"/>
    </row>
    <row r="11" spans="1:23" x14ac:dyDescent="0.25">
      <c r="A11" s="86">
        <v>10</v>
      </c>
      <c r="B11" s="24" t="s">
        <v>121</v>
      </c>
      <c r="C11" s="24" t="s">
        <v>122</v>
      </c>
      <c r="D11" s="24" t="s">
        <v>123</v>
      </c>
      <c r="E11" s="27">
        <v>27977</v>
      </c>
      <c r="F11" s="24" t="s">
        <v>124</v>
      </c>
      <c r="G11" s="24" t="s">
        <v>79</v>
      </c>
      <c r="H11" s="24" t="s">
        <v>5</v>
      </c>
      <c r="I11" s="24" t="s">
        <v>51</v>
      </c>
      <c r="J11" s="25">
        <v>0</v>
      </c>
      <c r="K11" s="25">
        <v>0</v>
      </c>
      <c r="L11" s="25"/>
      <c r="M11" s="25"/>
      <c r="N11" s="25"/>
      <c r="O11" s="25"/>
      <c r="P11" s="25"/>
      <c r="Q11" s="25"/>
      <c r="R11" s="25">
        <v>50000</v>
      </c>
      <c r="S11" s="25"/>
      <c r="T11" s="24"/>
      <c r="U11" s="25"/>
      <c r="V11" s="87"/>
    </row>
    <row r="12" spans="1:23" x14ac:dyDescent="0.25">
      <c r="A12" s="86">
        <v>11</v>
      </c>
      <c r="B12" s="24" t="s">
        <v>125</v>
      </c>
      <c r="C12" s="24" t="s">
        <v>126</v>
      </c>
      <c r="D12" s="24" t="s">
        <v>127</v>
      </c>
      <c r="E12" s="27" t="s">
        <v>128</v>
      </c>
      <c r="F12" s="24" t="s">
        <v>129</v>
      </c>
      <c r="G12" s="24" t="s">
        <v>111</v>
      </c>
      <c r="H12" s="24" t="s">
        <v>49</v>
      </c>
      <c r="I12" s="24" t="s">
        <v>51</v>
      </c>
      <c r="J12" s="25">
        <v>0</v>
      </c>
      <c r="K12" s="25">
        <v>0</v>
      </c>
      <c r="L12" s="25"/>
      <c r="M12" s="25">
        <v>8</v>
      </c>
      <c r="N12" s="25"/>
      <c r="O12" s="25">
        <v>3</v>
      </c>
      <c r="P12" s="25">
        <v>2</v>
      </c>
      <c r="Q12" s="25"/>
      <c r="R12" s="25"/>
      <c r="S12" s="25">
        <v>25000</v>
      </c>
      <c r="T12" s="24" t="s">
        <v>118</v>
      </c>
      <c r="U12" s="25"/>
      <c r="V12" s="87"/>
    </row>
    <row r="13" spans="1:23" x14ac:dyDescent="0.25">
      <c r="A13" s="86">
        <v>12</v>
      </c>
      <c r="B13" s="24" t="s">
        <v>130</v>
      </c>
      <c r="C13" s="24" t="s">
        <v>131</v>
      </c>
      <c r="D13" s="24" t="s">
        <v>132</v>
      </c>
      <c r="E13" s="27" t="s">
        <v>133</v>
      </c>
      <c r="F13" s="24" t="s">
        <v>134</v>
      </c>
      <c r="G13" s="24" t="s">
        <v>79</v>
      </c>
      <c r="H13" s="24" t="s">
        <v>49</v>
      </c>
      <c r="I13" s="24" t="s">
        <v>51</v>
      </c>
      <c r="J13" s="25">
        <v>0</v>
      </c>
      <c r="K13" s="25">
        <v>0</v>
      </c>
      <c r="L13" s="25"/>
      <c r="M13" s="25"/>
      <c r="N13" s="25"/>
      <c r="O13" s="25">
        <v>2</v>
      </c>
      <c r="P13" s="25"/>
      <c r="Q13" s="25"/>
      <c r="R13" s="25"/>
      <c r="S13" s="25"/>
      <c r="T13" s="24"/>
      <c r="U13" s="25">
        <v>17500</v>
      </c>
      <c r="V13" s="87"/>
    </row>
    <row r="14" spans="1:23" x14ac:dyDescent="0.25">
      <c r="A14" s="86">
        <v>13</v>
      </c>
      <c r="B14" s="24" t="s">
        <v>135</v>
      </c>
      <c r="C14" s="24" t="s">
        <v>136</v>
      </c>
      <c r="D14" s="24" t="s">
        <v>137</v>
      </c>
      <c r="E14" s="27" t="s">
        <v>138</v>
      </c>
      <c r="F14" s="24" t="s">
        <v>139</v>
      </c>
      <c r="G14" s="24" t="s">
        <v>111</v>
      </c>
      <c r="H14" s="24" t="s">
        <v>49</v>
      </c>
      <c r="I14" s="24" t="s">
        <v>51</v>
      </c>
      <c r="J14" s="25">
        <v>0</v>
      </c>
      <c r="K14" s="25">
        <v>1</v>
      </c>
      <c r="L14" s="25"/>
      <c r="M14" s="25">
        <v>8</v>
      </c>
      <c r="N14" s="25">
        <v>5</v>
      </c>
      <c r="O14" s="25">
        <v>3</v>
      </c>
      <c r="P14" s="25">
        <v>3</v>
      </c>
      <c r="Q14" s="25"/>
      <c r="R14" s="25"/>
      <c r="S14" s="25">
        <v>17000</v>
      </c>
      <c r="T14" s="24" t="s">
        <v>118</v>
      </c>
      <c r="U14" s="25"/>
      <c r="V14" s="87">
        <v>15000</v>
      </c>
    </row>
    <row r="15" spans="1:23" x14ac:dyDescent="0.25">
      <c r="A15" s="86">
        <v>14</v>
      </c>
      <c r="B15" s="24" t="s">
        <v>140</v>
      </c>
      <c r="C15" s="24" t="s">
        <v>141</v>
      </c>
      <c r="D15" s="24" t="s">
        <v>142</v>
      </c>
      <c r="E15" s="27" t="s">
        <v>143</v>
      </c>
      <c r="F15" s="24" t="s">
        <v>144</v>
      </c>
      <c r="G15" s="24" t="s">
        <v>79</v>
      </c>
      <c r="H15" s="24" t="s">
        <v>50</v>
      </c>
      <c r="I15" s="24" t="s">
        <v>51</v>
      </c>
      <c r="J15" s="25">
        <v>0</v>
      </c>
      <c r="K15" s="25">
        <v>0</v>
      </c>
      <c r="L15" s="25"/>
      <c r="M15" s="25"/>
      <c r="N15" s="25"/>
      <c r="O15" s="25"/>
      <c r="P15" s="25"/>
      <c r="Q15" s="25"/>
      <c r="R15" s="25"/>
      <c r="S15" s="25"/>
      <c r="T15" s="24" t="s">
        <v>107</v>
      </c>
      <c r="U15" s="25"/>
      <c r="V15" s="87"/>
    </row>
    <row r="16" spans="1:23" x14ac:dyDescent="0.25">
      <c r="A16" s="86">
        <v>15</v>
      </c>
      <c r="B16" s="24" t="s">
        <v>145</v>
      </c>
      <c r="C16" s="24" t="s">
        <v>146</v>
      </c>
      <c r="D16" s="24" t="s">
        <v>142</v>
      </c>
      <c r="E16" s="27" t="s">
        <v>147</v>
      </c>
      <c r="F16" s="24" t="s">
        <v>144</v>
      </c>
      <c r="G16" s="24" t="s">
        <v>79</v>
      </c>
      <c r="H16" s="24" t="s">
        <v>50</v>
      </c>
      <c r="I16" s="24" t="s">
        <v>51</v>
      </c>
      <c r="J16" s="25">
        <v>0</v>
      </c>
      <c r="K16" s="25">
        <v>0</v>
      </c>
      <c r="L16" s="25"/>
      <c r="M16" s="25"/>
      <c r="N16" s="25">
        <v>5</v>
      </c>
      <c r="O16" s="25">
        <v>5</v>
      </c>
      <c r="P16" s="25"/>
      <c r="Q16" s="25"/>
      <c r="R16" s="25"/>
      <c r="S16" s="25"/>
      <c r="T16" s="24"/>
      <c r="U16" s="25"/>
      <c r="V16" s="87"/>
    </row>
    <row r="17" spans="1:22" x14ac:dyDescent="0.25">
      <c r="A17" s="86">
        <v>16</v>
      </c>
      <c r="B17" s="24" t="s">
        <v>148</v>
      </c>
      <c r="C17" s="24" t="s">
        <v>149</v>
      </c>
      <c r="D17" s="24" t="s">
        <v>150</v>
      </c>
      <c r="E17" s="27" t="s">
        <v>151</v>
      </c>
      <c r="F17" s="24" t="s">
        <v>152</v>
      </c>
      <c r="G17" s="24" t="s">
        <v>79</v>
      </c>
      <c r="H17" s="24" t="s">
        <v>50</v>
      </c>
      <c r="I17" s="24" t="s">
        <v>52</v>
      </c>
      <c r="J17" s="25">
        <v>1</v>
      </c>
      <c r="K17" s="25">
        <v>4</v>
      </c>
      <c r="L17" s="25"/>
      <c r="M17" s="25">
        <v>8</v>
      </c>
      <c r="N17" s="25"/>
      <c r="O17" s="25"/>
      <c r="P17" s="25">
        <v>6</v>
      </c>
      <c r="Q17" s="25">
        <v>10000</v>
      </c>
      <c r="R17" s="25"/>
      <c r="S17" s="25"/>
      <c r="T17" s="24"/>
      <c r="U17" s="25"/>
      <c r="V17" s="87"/>
    </row>
    <row r="18" spans="1:22" x14ac:dyDescent="0.25">
      <c r="A18" s="86">
        <v>17</v>
      </c>
      <c r="B18" s="24" t="s">
        <v>153</v>
      </c>
      <c r="C18" s="24" t="s">
        <v>154</v>
      </c>
      <c r="D18" s="24" t="s">
        <v>150</v>
      </c>
      <c r="E18" s="27" t="s">
        <v>155</v>
      </c>
      <c r="F18" s="24" t="s">
        <v>156</v>
      </c>
      <c r="G18" s="24" t="s">
        <v>79</v>
      </c>
      <c r="H18" s="24" t="s">
        <v>50</v>
      </c>
      <c r="I18" s="24" t="s">
        <v>52</v>
      </c>
      <c r="J18" s="25">
        <v>1</v>
      </c>
      <c r="K18" s="25">
        <v>3</v>
      </c>
      <c r="L18" s="25"/>
      <c r="M18" s="25"/>
      <c r="N18" s="25">
        <v>2</v>
      </c>
      <c r="O18" s="25">
        <v>5</v>
      </c>
      <c r="P18" s="25"/>
      <c r="Q18" s="25"/>
      <c r="R18" s="25"/>
      <c r="S18" s="25"/>
      <c r="T18" s="24"/>
      <c r="U18" s="25">
        <v>10000</v>
      </c>
      <c r="V18" s="87"/>
    </row>
    <row r="19" spans="1:22" x14ac:dyDescent="0.25">
      <c r="A19" s="86">
        <v>18</v>
      </c>
      <c r="B19" s="24" t="s">
        <v>157</v>
      </c>
      <c r="C19" s="24" t="s">
        <v>158</v>
      </c>
      <c r="D19" s="24" t="s">
        <v>159</v>
      </c>
      <c r="E19" s="27" t="s">
        <v>160</v>
      </c>
      <c r="F19" s="24" t="s">
        <v>161</v>
      </c>
      <c r="G19" s="24" t="s">
        <v>79</v>
      </c>
      <c r="H19" s="24" t="s">
        <v>5</v>
      </c>
      <c r="I19" s="24" t="s">
        <v>52</v>
      </c>
      <c r="J19" s="25">
        <v>2</v>
      </c>
      <c r="K19" s="25">
        <v>7</v>
      </c>
      <c r="L19" s="25"/>
      <c r="M19" s="25"/>
      <c r="N19" s="25"/>
      <c r="O19" s="25"/>
      <c r="P19" s="25"/>
      <c r="Q19" s="25">
        <v>10000</v>
      </c>
      <c r="R19" s="25">
        <v>65000</v>
      </c>
      <c r="S19" s="25"/>
      <c r="T19" s="24"/>
      <c r="U19" s="25">
        <v>15000</v>
      </c>
      <c r="V19" s="87"/>
    </row>
    <row r="20" spans="1:22" x14ac:dyDescent="0.25">
      <c r="A20" s="86">
        <v>19</v>
      </c>
      <c r="B20" s="24" t="s">
        <v>162</v>
      </c>
      <c r="C20" s="24" t="s">
        <v>163</v>
      </c>
      <c r="D20" s="24" t="s">
        <v>164</v>
      </c>
      <c r="E20" s="27" t="s">
        <v>165</v>
      </c>
      <c r="F20" s="24" t="s">
        <v>166</v>
      </c>
      <c r="G20" s="24" t="s">
        <v>79</v>
      </c>
      <c r="H20" s="24" t="s">
        <v>50</v>
      </c>
      <c r="I20" s="24" t="s">
        <v>52</v>
      </c>
      <c r="J20" s="25">
        <v>1</v>
      </c>
      <c r="K20" s="25">
        <v>1</v>
      </c>
      <c r="L20" s="25"/>
      <c r="M20" s="25"/>
      <c r="N20" s="25"/>
      <c r="O20" s="25"/>
      <c r="P20" s="25">
        <v>8</v>
      </c>
      <c r="Q20" s="25"/>
      <c r="R20" s="25"/>
      <c r="S20" s="25"/>
      <c r="T20" s="24" t="s">
        <v>118</v>
      </c>
      <c r="U20" s="25"/>
      <c r="V20" s="87"/>
    </row>
    <row r="21" spans="1:22" x14ac:dyDescent="0.25">
      <c r="A21" s="86">
        <v>20</v>
      </c>
      <c r="B21" s="24" t="s">
        <v>167</v>
      </c>
      <c r="C21" s="24" t="s">
        <v>168</v>
      </c>
      <c r="D21" s="24" t="s">
        <v>164</v>
      </c>
      <c r="E21" s="27" t="s">
        <v>169</v>
      </c>
      <c r="F21" s="24" t="s">
        <v>170</v>
      </c>
      <c r="G21" s="24" t="s">
        <v>79</v>
      </c>
      <c r="H21" s="24" t="s">
        <v>49</v>
      </c>
      <c r="I21" s="24" t="s">
        <v>52</v>
      </c>
      <c r="J21" s="25">
        <v>1</v>
      </c>
      <c r="K21" s="25">
        <v>3</v>
      </c>
      <c r="L21" s="25">
        <v>13500</v>
      </c>
      <c r="M21" s="25">
        <v>8</v>
      </c>
      <c r="N21" s="25">
        <v>3</v>
      </c>
      <c r="O21" s="25"/>
      <c r="P21" s="25"/>
      <c r="Q21" s="25"/>
      <c r="R21" s="25"/>
      <c r="S21" s="25"/>
      <c r="T21" s="24" t="s">
        <v>107</v>
      </c>
      <c r="U21" s="25"/>
      <c r="V21" s="87"/>
    </row>
    <row r="22" spans="1:22" x14ac:dyDescent="0.25">
      <c r="A22" s="86">
        <v>21</v>
      </c>
      <c r="B22" s="24" t="s">
        <v>171</v>
      </c>
      <c r="C22" s="24" t="s">
        <v>172</v>
      </c>
      <c r="D22" s="24" t="s">
        <v>56</v>
      </c>
      <c r="E22" s="27">
        <v>28924</v>
      </c>
      <c r="F22" s="24" t="s">
        <v>173</v>
      </c>
      <c r="G22" s="24" t="s">
        <v>79</v>
      </c>
      <c r="H22" s="24" t="s">
        <v>49</v>
      </c>
      <c r="I22" s="24" t="s">
        <v>52</v>
      </c>
      <c r="J22" s="25">
        <v>2</v>
      </c>
      <c r="K22" s="25">
        <v>4</v>
      </c>
      <c r="L22" s="25"/>
      <c r="M22" s="25">
        <v>8</v>
      </c>
      <c r="N22" s="25">
        <v>4</v>
      </c>
      <c r="O22" s="25">
        <v>4</v>
      </c>
      <c r="P22" s="25">
        <v>6</v>
      </c>
      <c r="Q22" s="25"/>
      <c r="R22" s="25"/>
      <c r="S22" s="25">
        <v>20000</v>
      </c>
      <c r="T22" s="24"/>
      <c r="U22" s="25"/>
      <c r="V22" s="87"/>
    </row>
    <row r="23" spans="1:22" x14ac:dyDescent="0.25">
      <c r="A23" s="86">
        <v>22</v>
      </c>
      <c r="B23" s="24" t="s">
        <v>174</v>
      </c>
      <c r="C23" s="24" t="s">
        <v>175</v>
      </c>
      <c r="D23" s="24" t="s">
        <v>56</v>
      </c>
      <c r="E23" s="27">
        <v>30263</v>
      </c>
      <c r="F23" s="24" t="s">
        <v>176</v>
      </c>
      <c r="G23" s="24" t="s">
        <v>111</v>
      </c>
      <c r="H23" s="24" t="s">
        <v>49</v>
      </c>
      <c r="I23" s="24" t="s">
        <v>52</v>
      </c>
      <c r="J23" s="25">
        <v>0</v>
      </c>
      <c r="K23" s="25">
        <v>3</v>
      </c>
      <c r="L23" s="25"/>
      <c r="M23" s="25"/>
      <c r="N23" s="25"/>
      <c r="O23" s="25"/>
      <c r="P23" s="25"/>
      <c r="Q23" s="25">
        <v>100000</v>
      </c>
      <c r="R23" s="25"/>
      <c r="S23" s="25"/>
      <c r="T23" s="24"/>
      <c r="U23" s="25"/>
      <c r="V23" s="87"/>
    </row>
    <row r="24" spans="1:22" x14ac:dyDescent="0.25">
      <c r="A24" s="86">
        <v>23</v>
      </c>
      <c r="B24" s="24" t="s">
        <v>177</v>
      </c>
      <c r="C24" s="24" t="s">
        <v>178</v>
      </c>
      <c r="D24" s="24" t="s">
        <v>179</v>
      </c>
      <c r="E24" s="27">
        <v>27489</v>
      </c>
      <c r="F24" s="24" t="s">
        <v>180</v>
      </c>
      <c r="G24" s="24" t="s">
        <v>79</v>
      </c>
      <c r="H24" s="24" t="s">
        <v>50</v>
      </c>
      <c r="I24" s="24" t="s">
        <v>52</v>
      </c>
      <c r="J24" s="25">
        <v>2</v>
      </c>
      <c r="K24" s="25">
        <v>5</v>
      </c>
      <c r="L24" s="25"/>
      <c r="M24" s="25"/>
      <c r="N24" s="25"/>
      <c r="O24" s="25">
        <v>3</v>
      </c>
      <c r="P24" s="25">
        <v>6</v>
      </c>
      <c r="Q24" s="25"/>
      <c r="R24" s="25">
        <v>50000</v>
      </c>
      <c r="S24" s="25"/>
      <c r="T24" s="24"/>
      <c r="U24" s="25"/>
      <c r="V24" s="87"/>
    </row>
    <row r="25" spans="1:22" x14ac:dyDescent="0.25">
      <c r="A25" s="86">
        <v>24</v>
      </c>
      <c r="B25" s="24" t="s">
        <v>181</v>
      </c>
      <c r="C25" s="24" t="s">
        <v>182</v>
      </c>
      <c r="D25" s="24" t="s">
        <v>183</v>
      </c>
      <c r="E25" s="27" t="s">
        <v>184</v>
      </c>
      <c r="F25" s="24" t="s">
        <v>185</v>
      </c>
      <c r="G25" s="24" t="s">
        <v>79</v>
      </c>
      <c r="H25" s="24" t="s">
        <v>50</v>
      </c>
      <c r="I25" s="24" t="s">
        <v>52</v>
      </c>
      <c r="J25" s="25">
        <v>1</v>
      </c>
      <c r="K25" s="25">
        <v>0</v>
      </c>
      <c r="L25" s="25"/>
      <c r="M25" s="25">
        <v>8</v>
      </c>
      <c r="N25" s="25">
        <v>5</v>
      </c>
      <c r="O25" s="25">
        <v>2</v>
      </c>
      <c r="P25" s="25"/>
      <c r="Q25" s="25">
        <v>10000</v>
      </c>
      <c r="R25" s="25"/>
      <c r="S25" s="25"/>
      <c r="T25" s="24" t="s">
        <v>107</v>
      </c>
      <c r="U25" s="25"/>
      <c r="V25" s="87"/>
    </row>
    <row r="26" spans="1:22" x14ac:dyDescent="0.25">
      <c r="A26" s="86">
        <v>25</v>
      </c>
      <c r="B26" s="24" t="s">
        <v>186</v>
      </c>
      <c r="C26" s="24" t="s">
        <v>187</v>
      </c>
      <c r="D26" s="24" t="s">
        <v>183</v>
      </c>
      <c r="E26" s="27">
        <v>28525</v>
      </c>
      <c r="F26" s="24" t="s">
        <v>188</v>
      </c>
      <c r="G26" s="24" t="s">
        <v>111</v>
      </c>
      <c r="H26" s="24" t="s">
        <v>50</v>
      </c>
      <c r="I26" s="24" t="s">
        <v>51</v>
      </c>
      <c r="J26" s="25">
        <v>0</v>
      </c>
      <c r="K26" s="25">
        <v>0</v>
      </c>
      <c r="L26" s="25"/>
      <c r="M26" s="25"/>
      <c r="N26" s="25">
        <v>4</v>
      </c>
      <c r="O26" s="25"/>
      <c r="P26" s="25">
        <v>5</v>
      </c>
      <c r="Q26" s="25"/>
      <c r="R26" s="25"/>
      <c r="S26" s="25"/>
      <c r="T26" s="24" t="s">
        <v>118</v>
      </c>
      <c r="U26" s="25"/>
      <c r="V26" s="87"/>
    </row>
    <row r="27" spans="1:22" x14ac:dyDescent="0.25">
      <c r="A27" s="86">
        <v>26</v>
      </c>
      <c r="B27" s="24" t="s">
        <v>189</v>
      </c>
      <c r="C27" s="24" t="s">
        <v>190</v>
      </c>
      <c r="D27" s="24" t="s">
        <v>191</v>
      </c>
      <c r="E27" s="27" t="s">
        <v>192</v>
      </c>
      <c r="F27" s="24" t="s">
        <v>193</v>
      </c>
      <c r="G27" s="24" t="s">
        <v>79</v>
      </c>
      <c r="H27" s="24" t="s">
        <v>50</v>
      </c>
      <c r="I27" s="24" t="s">
        <v>51</v>
      </c>
      <c r="J27" s="25">
        <v>0</v>
      </c>
      <c r="K27" s="25">
        <v>0</v>
      </c>
      <c r="L27" s="25">
        <v>12000</v>
      </c>
      <c r="M27" s="25">
        <v>8</v>
      </c>
      <c r="N27" s="25">
        <v>4</v>
      </c>
      <c r="O27" s="25">
        <v>5</v>
      </c>
      <c r="P27" s="25">
        <v>7</v>
      </c>
      <c r="Q27" s="25"/>
      <c r="R27" s="25"/>
      <c r="S27" s="25"/>
      <c r="T27" s="24"/>
      <c r="U27" s="25"/>
      <c r="V27" s="87"/>
    </row>
    <row r="28" spans="1:22" x14ac:dyDescent="0.25">
      <c r="A28" s="86">
        <v>27</v>
      </c>
      <c r="B28" s="24" t="s">
        <v>194</v>
      </c>
      <c r="C28" s="24" t="s">
        <v>149</v>
      </c>
      <c r="D28" s="24" t="s">
        <v>195</v>
      </c>
      <c r="E28" s="27" t="s">
        <v>196</v>
      </c>
      <c r="F28" s="24" t="s">
        <v>197</v>
      </c>
      <c r="G28" s="24" t="s">
        <v>79</v>
      </c>
      <c r="H28" s="24" t="s">
        <v>5</v>
      </c>
      <c r="I28" s="24" t="s">
        <v>51</v>
      </c>
      <c r="J28" s="25">
        <v>0</v>
      </c>
      <c r="K28" s="25">
        <v>0</v>
      </c>
      <c r="L28" s="25"/>
      <c r="M28" s="25"/>
      <c r="N28" s="25"/>
      <c r="O28" s="25"/>
      <c r="P28" s="25"/>
      <c r="Q28" s="25"/>
      <c r="R28" s="25">
        <v>15000</v>
      </c>
      <c r="S28" s="25"/>
      <c r="T28" s="24" t="s">
        <v>118</v>
      </c>
      <c r="U28" s="25"/>
      <c r="V28" s="87"/>
    </row>
    <row r="29" spans="1:22" x14ac:dyDescent="0.25">
      <c r="A29" s="86">
        <v>28</v>
      </c>
      <c r="B29" s="24" t="s">
        <v>198</v>
      </c>
      <c r="C29" s="24" t="s">
        <v>199</v>
      </c>
      <c r="D29" s="24" t="s">
        <v>200</v>
      </c>
      <c r="E29" s="27">
        <v>29901</v>
      </c>
      <c r="F29" s="24" t="s">
        <v>201</v>
      </c>
      <c r="G29" s="24" t="s">
        <v>79</v>
      </c>
      <c r="H29" s="24" t="s">
        <v>49</v>
      </c>
      <c r="I29" s="24" t="s">
        <v>51</v>
      </c>
      <c r="J29" s="25">
        <v>0</v>
      </c>
      <c r="K29" s="25">
        <v>0</v>
      </c>
      <c r="L29" s="25"/>
      <c r="M29" s="25">
        <v>8</v>
      </c>
      <c r="N29" s="25">
        <v>2</v>
      </c>
      <c r="O29" s="25"/>
      <c r="P29" s="25">
        <v>5</v>
      </c>
      <c r="Q29" s="25"/>
      <c r="R29" s="25"/>
      <c r="S29" s="25"/>
      <c r="T29" s="24" t="s">
        <v>107</v>
      </c>
      <c r="U29" s="25"/>
      <c r="V29" s="87"/>
    </row>
    <row r="30" spans="1:22" x14ac:dyDescent="0.25">
      <c r="A30" s="86">
        <v>29</v>
      </c>
      <c r="B30" s="24" t="s">
        <v>202</v>
      </c>
      <c r="C30" s="24" t="s">
        <v>203</v>
      </c>
      <c r="D30" s="24" t="s">
        <v>204</v>
      </c>
      <c r="E30" s="27">
        <v>31083</v>
      </c>
      <c r="F30" s="24" t="s">
        <v>205</v>
      </c>
      <c r="G30" s="24" t="s">
        <v>111</v>
      </c>
      <c r="H30" s="24" t="s">
        <v>5</v>
      </c>
      <c r="I30" s="24" t="s">
        <v>52</v>
      </c>
      <c r="J30" s="25">
        <v>0</v>
      </c>
      <c r="K30" s="25">
        <v>2</v>
      </c>
      <c r="L30" s="25"/>
      <c r="M30" s="25"/>
      <c r="N30" s="25"/>
      <c r="O30" s="25"/>
      <c r="P30" s="25"/>
      <c r="Q30" s="25">
        <v>10000</v>
      </c>
      <c r="R30" s="25">
        <v>17500</v>
      </c>
      <c r="S30" s="25"/>
      <c r="T30" s="24"/>
      <c r="U30" s="25"/>
      <c r="V30" s="87"/>
    </row>
    <row r="31" spans="1:22" x14ac:dyDescent="0.25">
      <c r="A31" s="86">
        <v>30</v>
      </c>
      <c r="B31" s="24" t="s">
        <v>206</v>
      </c>
      <c r="C31" s="24" t="s">
        <v>207</v>
      </c>
      <c r="D31" s="24" t="s">
        <v>208</v>
      </c>
      <c r="E31" s="27" t="s">
        <v>209</v>
      </c>
      <c r="F31" s="24" t="s">
        <v>210</v>
      </c>
      <c r="G31" s="24" t="s">
        <v>79</v>
      </c>
      <c r="H31" s="24" t="s">
        <v>5</v>
      </c>
      <c r="I31" s="24" t="s">
        <v>52</v>
      </c>
      <c r="J31" s="25">
        <v>3</v>
      </c>
      <c r="K31" s="25">
        <v>7</v>
      </c>
      <c r="L31" s="25"/>
      <c r="M31" s="25"/>
      <c r="N31" s="25"/>
      <c r="O31" s="25"/>
      <c r="P31" s="25"/>
      <c r="Q31" s="25">
        <v>8000</v>
      </c>
      <c r="R31" s="25"/>
      <c r="S31" s="25"/>
      <c r="T31" s="24" t="s">
        <v>118</v>
      </c>
      <c r="U31" s="25">
        <v>12500</v>
      </c>
      <c r="V31" s="87"/>
    </row>
    <row r="32" spans="1:22" x14ac:dyDescent="0.25">
      <c r="A32" s="86">
        <v>31</v>
      </c>
      <c r="B32" s="24" t="s">
        <v>211</v>
      </c>
      <c r="C32" s="24" t="s">
        <v>212</v>
      </c>
      <c r="D32" s="24" t="s">
        <v>213</v>
      </c>
      <c r="E32" s="27" t="s">
        <v>169</v>
      </c>
      <c r="F32" s="24" t="s">
        <v>214</v>
      </c>
      <c r="G32" s="24" t="s">
        <v>79</v>
      </c>
      <c r="H32" s="24" t="s">
        <v>5</v>
      </c>
      <c r="I32" s="24" t="s">
        <v>52</v>
      </c>
      <c r="J32" s="25">
        <v>1</v>
      </c>
      <c r="K32" s="25">
        <v>5</v>
      </c>
      <c r="L32" s="25"/>
      <c r="M32" s="25"/>
      <c r="N32" s="25"/>
      <c r="O32" s="25"/>
      <c r="P32" s="25"/>
      <c r="Q32" s="25"/>
      <c r="R32" s="25">
        <v>10000</v>
      </c>
      <c r="S32" s="25">
        <v>20000</v>
      </c>
      <c r="T32" s="24"/>
      <c r="U32" s="25"/>
      <c r="V32" s="87"/>
    </row>
    <row r="33" spans="1:22" x14ac:dyDescent="0.25">
      <c r="A33" s="86">
        <v>32</v>
      </c>
      <c r="B33" s="24" t="s">
        <v>215</v>
      </c>
      <c r="C33" s="24" t="s">
        <v>216</v>
      </c>
      <c r="D33" s="24" t="s">
        <v>214</v>
      </c>
      <c r="E33" s="27">
        <v>31110</v>
      </c>
      <c r="F33" s="24" t="s">
        <v>217</v>
      </c>
      <c r="G33" s="24" t="s">
        <v>79</v>
      </c>
      <c r="H33" s="24" t="s">
        <v>49</v>
      </c>
      <c r="I33" s="24" t="s">
        <v>52</v>
      </c>
      <c r="J33" s="25">
        <v>1</v>
      </c>
      <c r="K33" s="25">
        <v>3</v>
      </c>
      <c r="L33" s="25"/>
      <c r="M33" s="25">
        <v>8</v>
      </c>
      <c r="N33" s="25"/>
      <c r="O33" s="25"/>
      <c r="P33" s="25">
        <v>3</v>
      </c>
      <c r="Q33" s="25"/>
      <c r="R33" s="25"/>
      <c r="S33" s="25"/>
      <c r="T33" s="24" t="s">
        <v>118</v>
      </c>
      <c r="U33" s="25"/>
      <c r="V33" s="87"/>
    </row>
    <row r="34" spans="1:22" x14ac:dyDescent="0.25">
      <c r="A34" s="86">
        <v>33</v>
      </c>
      <c r="B34" s="24" t="s">
        <v>218</v>
      </c>
      <c r="C34" s="24" t="s">
        <v>219</v>
      </c>
      <c r="D34" s="24" t="s">
        <v>220</v>
      </c>
      <c r="E34" s="27">
        <v>28377</v>
      </c>
      <c r="F34" s="24" t="s">
        <v>221</v>
      </c>
      <c r="G34" s="24" t="s">
        <v>79</v>
      </c>
      <c r="H34" s="24" t="s">
        <v>49</v>
      </c>
      <c r="I34" s="24" t="s">
        <v>52</v>
      </c>
      <c r="J34" s="25">
        <v>1</v>
      </c>
      <c r="K34" s="25">
        <v>4</v>
      </c>
      <c r="L34" s="25"/>
      <c r="M34" s="25"/>
      <c r="N34" s="25"/>
      <c r="O34" s="25"/>
      <c r="P34" s="25">
        <v>6</v>
      </c>
      <c r="Q34" s="25"/>
      <c r="R34" s="25"/>
      <c r="S34" s="25"/>
      <c r="T34" s="24" t="s">
        <v>118</v>
      </c>
      <c r="U34" s="25"/>
      <c r="V34" s="87"/>
    </row>
    <row r="35" spans="1:22" x14ac:dyDescent="0.25">
      <c r="A35" s="86">
        <v>34</v>
      </c>
      <c r="B35" s="24" t="s">
        <v>222</v>
      </c>
      <c r="C35" s="24" t="s">
        <v>223</v>
      </c>
      <c r="D35" s="24" t="s">
        <v>224</v>
      </c>
      <c r="E35" s="27">
        <v>27672</v>
      </c>
      <c r="F35" s="24" t="s">
        <v>225</v>
      </c>
      <c r="G35" s="24" t="s">
        <v>111</v>
      </c>
      <c r="H35" s="24" t="s">
        <v>49</v>
      </c>
      <c r="I35" s="24" t="s">
        <v>52</v>
      </c>
      <c r="J35" s="25">
        <v>0</v>
      </c>
      <c r="K35" s="25">
        <v>2</v>
      </c>
      <c r="L35" s="25"/>
      <c r="M35" s="25">
        <v>8</v>
      </c>
      <c r="N35" s="25"/>
      <c r="O35" s="25"/>
      <c r="P35" s="25"/>
      <c r="Q35" s="25"/>
      <c r="R35" s="25">
        <v>14500</v>
      </c>
      <c r="S35" s="25">
        <v>25000</v>
      </c>
      <c r="T35" s="24"/>
      <c r="U35" s="25">
        <v>10000</v>
      </c>
      <c r="V35" s="87"/>
    </row>
    <row r="36" spans="1:22" x14ac:dyDescent="0.25">
      <c r="A36" s="86">
        <v>35</v>
      </c>
      <c r="B36" s="24" t="s">
        <v>226</v>
      </c>
      <c r="C36" s="24" t="s">
        <v>227</v>
      </c>
      <c r="D36" s="24" t="s">
        <v>228</v>
      </c>
      <c r="E36" s="27" t="s">
        <v>229</v>
      </c>
      <c r="F36" s="24" t="s">
        <v>230</v>
      </c>
      <c r="G36" s="24" t="s">
        <v>79</v>
      </c>
      <c r="H36" s="24" t="s">
        <v>49</v>
      </c>
      <c r="I36" s="24" t="s">
        <v>52</v>
      </c>
      <c r="J36" s="25">
        <v>2</v>
      </c>
      <c r="K36" s="25">
        <v>4</v>
      </c>
      <c r="L36" s="25"/>
      <c r="M36" s="25"/>
      <c r="N36" s="25"/>
      <c r="O36" s="25"/>
      <c r="P36" s="25">
        <v>2</v>
      </c>
      <c r="Q36" s="25"/>
      <c r="R36" s="25"/>
      <c r="S36" s="25"/>
      <c r="T36" s="24"/>
      <c r="U36" s="25"/>
      <c r="V36" s="87"/>
    </row>
    <row r="37" spans="1:22" x14ac:dyDescent="0.25">
      <c r="A37" s="86">
        <v>36</v>
      </c>
      <c r="B37" s="24" t="s">
        <v>231</v>
      </c>
      <c r="C37" s="24" t="s">
        <v>232</v>
      </c>
      <c r="D37" s="24" t="s">
        <v>233</v>
      </c>
      <c r="E37" s="27" t="s">
        <v>234</v>
      </c>
      <c r="F37" s="24" t="s">
        <v>235</v>
      </c>
      <c r="G37" s="24" t="s">
        <v>79</v>
      </c>
      <c r="H37" s="24" t="s">
        <v>49</v>
      </c>
      <c r="I37" s="24" t="s">
        <v>52</v>
      </c>
      <c r="J37" s="25">
        <v>1</v>
      </c>
      <c r="K37" s="25">
        <v>6</v>
      </c>
      <c r="L37" s="25"/>
      <c r="M37" s="25"/>
      <c r="N37" s="25"/>
      <c r="O37" s="25"/>
      <c r="P37" s="25">
        <v>4</v>
      </c>
      <c r="Q37" s="25"/>
      <c r="R37" s="25"/>
      <c r="S37" s="25"/>
      <c r="T37" s="24"/>
      <c r="U37" s="25">
        <v>13000</v>
      </c>
      <c r="V37" s="87"/>
    </row>
    <row r="38" spans="1:22" x14ac:dyDescent="0.25">
      <c r="A38" s="86">
        <v>37</v>
      </c>
      <c r="B38" s="24" t="s">
        <v>236</v>
      </c>
      <c r="C38" s="24" t="s">
        <v>237</v>
      </c>
      <c r="D38" s="24" t="s">
        <v>238</v>
      </c>
      <c r="E38" s="27">
        <v>28501</v>
      </c>
      <c r="F38" s="24" t="s">
        <v>129</v>
      </c>
      <c r="G38" s="24" t="s">
        <v>79</v>
      </c>
      <c r="H38" s="24" t="s">
        <v>50</v>
      </c>
      <c r="I38" s="24" t="s">
        <v>51</v>
      </c>
      <c r="J38" s="25">
        <v>0</v>
      </c>
      <c r="K38" s="25">
        <v>0</v>
      </c>
      <c r="L38" s="25">
        <v>10000</v>
      </c>
      <c r="M38" s="25"/>
      <c r="N38" s="25"/>
      <c r="O38" s="25"/>
      <c r="P38" s="25"/>
      <c r="Q38" s="25"/>
      <c r="R38" s="25"/>
      <c r="S38" s="25"/>
      <c r="T38" s="24" t="s">
        <v>118</v>
      </c>
      <c r="U38" s="25"/>
      <c r="V38" s="87"/>
    </row>
    <row r="39" spans="1:22" x14ac:dyDescent="0.25">
      <c r="A39" s="86">
        <v>38</v>
      </c>
      <c r="B39" s="24" t="s">
        <v>239</v>
      </c>
      <c r="C39" s="24" t="s">
        <v>240</v>
      </c>
      <c r="D39" s="24" t="s">
        <v>238</v>
      </c>
      <c r="E39" s="27" t="s">
        <v>241</v>
      </c>
      <c r="F39" s="24" t="s">
        <v>134</v>
      </c>
      <c r="G39" s="24" t="s">
        <v>79</v>
      </c>
      <c r="H39" s="24" t="s">
        <v>5</v>
      </c>
      <c r="I39" s="24" t="s">
        <v>51</v>
      </c>
      <c r="J39" s="25">
        <v>0</v>
      </c>
      <c r="K39" s="25">
        <v>0</v>
      </c>
      <c r="L39" s="25"/>
      <c r="M39" s="25"/>
      <c r="N39" s="25"/>
      <c r="O39" s="25"/>
      <c r="P39" s="25"/>
      <c r="Q39" s="25">
        <v>10000</v>
      </c>
      <c r="R39" s="25">
        <v>15000</v>
      </c>
      <c r="S39" s="25"/>
      <c r="T39" s="24"/>
      <c r="U39" s="25">
        <v>10000</v>
      </c>
      <c r="V39" s="87"/>
    </row>
    <row r="40" spans="1:22" x14ac:dyDescent="0.25">
      <c r="A40" s="86">
        <v>39</v>
      </c>
      <c r="B40" s="24" t="s">
        <v>242</v>
      </c>
      <c r="C40" s="24" t="s">
        <v>243</v>
      </c>
      <c r="D40" s="24" t="s">
        <v>244</v>
      </c>
      <c r="E40" s="27" t="s">
        <v>245</v>
      </c>
      <c r="F40" s="24" t="s">
        <v>106</v>
      </c>
      <c r="G40" s="24" t="s">
        <v>111</v>
      </c>
      <c r="H40" s="24" t="s">
        <v>50</v>
      </c>
      <c r="I40" s="24" t="s">
        <v>51</v>
      </c>
      <c r="J40" s="25">
        <v>0</v>
      </c>
      <c r="K40" s="25">
        <v>0</v>
      </c>
      <c r="L40" s="25"/>
      <c r="M40" s="25"/>
      <c r="N40" s="25"/>
      <c r="O40" s="25"/>
      <c r="P40" s="25"/>
      <c r="Q40" s="25"/>
      <c r="R40" s="25"/>
      <c r="S40" s="25"/>
      <c r="T40" s="24"/>
      <c r="U40" s="25"/>
      <c r="V40" s="87"/>
    </row>
    <row r="41" spans="1:22" x14ac:dyDescent="0.25">
      <c r="A41" s="86">
        <v>40</v>
      </c>
      <c r="B41" s="24" t="s">
        <v>246</v>
      </c>
      <c r="C41" s="24" t="s">
        <v>247</v>
      </c>
      <c r="D41" s="24" t="s">
        <v>244</v>
      </c>
      <c r="E41" s="27" t="s">
        <v>248</v>
      </c>
      <c r="F41" s="24" t="s">
        <v>96</v>
      </c>
      <c r="G41" s="24" t="s">
        <v>111</v>
      </c>
      <c r="H41" s="24" t="s">
        <v>50</v>
      </c>
      <c r="I41" s="24" t="s">
        <v>51</v>
      </c>
      <c r="J41" s="25">
        <v>0</v>
      </c>
      <c r="K41" s="25">
        <v>0</v>
      </c>
      <c r="L41" s="25"/>
      <c r="M41" s="25">
        <v>8</v>
      </c>
      <c r="N41" s="25">
        <v>5</v>
      </c>
      <c r="O41" s="25"/>
      <c r="P41" s="25"/>
      <c r="Q41" s="25"/>
      <c r="R41" s="25"/>
      <c r="S41" s="25"/>
      <c r="T41" s="24" t="s">
        <v>91</v>
      </c>
      <c r="U41" s="25"/>
      <c r="V41" s="87"/>
    </row>
    <row r="42" spans="1:22" x14ac:dyDescent="0.25">
      <c r="A42" s="86">
        <v>41</v>
      </c>
      <c r="B42" s="24" t="s">
        <v>249</v>
      </c>
      <c r="C42" s="24" t="s">
        <v>250</v>
      </c>
      <c r="D42" s="24" t="s">
        <v>251</v>
      </c>
      <c r="E42" s="27" t="s">
        <v>252</v>
      </c>
      <c r="F42" s="24" t="s">
        <v>78</v>
      </c>
      <c r="G42" s="24" t="s">
        <v>79</v>
      </c>
      <c r="H42" s="24" t="s">
        <v>5</v>
      </c>
      <c r="I42" s="24" t="s">
        <v>51</v>
      </c>
      <c r="J42" s="25">
        <v>0</v>
      </c>
      <c r="K42" s="25">
        <v>1</v>
      </c>
      <c r="L42" s="25"/>
      <c r="M42" s="25"/>
      <c r="N42" s="25"/>
      <c r="O42" s="25"/>
      <c r="P42" s="25"/>
      <c r="Q42" s="25"/>
      <c r="R42" s="25">
        <v>55000</v>
      </c>
      <c r="S42" s="25"/>
      <c r="T42" s="24" t="s">
        <v>107</v>
      </c>
      <c r="U42" s="25"/>
      <c r="V42" s="87">
        <v>30000</v>
      </c>
    </row>
    <row r="43" spans="1:22" x14ac:dyDescent="0.25">
      <c r="A43" s="86">
        <v>42</v>
      </c>
      <c r="B43" s="24" t="s">
        <v>253</v>
      </c>
      <c r="C43" s="24" t="s">
        <v>254</v>
      </c>
      <c r="D43" s="24" t="s">
        <v>255</v>
      </c>
      <c r="E43" s="27" t="s">
        <v>256</v>
      </c>
      <c r="F43" s="24" t="s">
        <v>257</v>
      </c>
      <c r="G43" s="24" t="s">
        <v>79</v>
      </c>
      <c r="H43" s="24" t="s">
        <v>50</v>
      </c>
      <c r="I43" s="24" t="s">
        <v>52</v>
      </c>
      <c r="J43" s="25">
        <v>2</v>
      </c>
      <c r="K43" s="25">
        <v>5</v>
      </c>
      <c r="L43" s="25"/>
      <c r="M43" s="25"/>
      <c r="N43" s="25"/>
      <c r="O43" s="25"/>
      <c r="P43" s="25"/>
      <c r="Q43" s="25"/>
      <c r="R43" s="25"/>
      <c r="S43" s="25"/>
      <c r="T43" s="24"/>
      <c r="U43" s="25">
        <v>10000</v>
      </c>
      <c r="V43" s="87"/>
    </row>
    <row r="44" spans="1:22" x14ac:dyDescent="0.25">
      <c r="A44" s="86">
        <v>43</v>
      </c>
      <c r="B44" s="24" t="s">
        <v>258</v>
      </c>
      <c r="C44" s="24" t="s">
        <v>259</v>
      </c>
      <c r="D44" s="24" t="s">
        <v>260</v>
      </c>
      <c r="E44" s="27" t="s">
        <v>261</v>
      </c>
      <c r="F44" s="24" t="s">
        <v>262</v>
      </c>
      <c r="G44" s="24" t="s">
        <v>79</v>
      </c>
      <c r="H44" s="24" t="s">
        <v>50</v>
      </c>
      <c r="I44" s="24" t="s">
        <v>52</v>
      </c>
      <c r="J44" s="25">
        <v>1</v>
      </c>
      <c r="K44" s="25">
        <v>1</v>
      </c>
      <c r="L44" s="25"/>
      <c r="M44" s="25">
        <v>8</v>
      </c>
      <c r="N44" s="25">
        <v>5</v>
      </c>
      <c r="O44" s="25"/>
      <c r="P44" s="25">
        <v>3</v>
      </c>
      <c r="Q44" s="25"/>
      <c r="R44" s="25"/>
      <c r="S44" s="25">
        <v>20000</v>
      </c>
      <c r="T44" s="24"/>
      <c r="U44" s="25"/>
      <c r="V44" s="87"/>
    </row>
    <row r="45" spans="1:22" x14ac:dyDescent="0.25">
      <c r="A45" s="86">
        <v>44</v>
      </c>
      <c r="B45" s="24" t="s">
        <v>263</v>
      </c>
      <c r="C45" s="24" t="s">
        <v>264</v>
      </c>
      <c r="D45" s="24" t="s">
        <v>265</v>
      </c>
      <c r="E45" s="27">
        <v>27974</v>
      </c>
      <c r="F45" s="24" t="s">
        <v>217</v>
      </c>
      <c r="G45" s="24" t="s">
        <v>79</v>
      </c>
      <c r="H45" s="24" t="s">
        <v>49</v>
      </c>
      <c r="I45" s="24" t="s">
        <v>52</v>
      </c>
      <c r="J45" s="25">
        <v>1</v>
      </c>
      <c r="K45" s="25">
        <v>1</v>
      </c>
      <c r="L45" s="25"/>
      <c r="M45" s="25"/>
      <c r="N45" s="25"/>
      <c r="O45" s="25"/>
      <c r="P45" s="25">
        <v>2</v>
      </c>
      <c r="Q45" s="25">
        <v>8500</v>
      </c>
      <c r="R45" s="25"/>
      <c r="S45" s="25"/>
      <c r="T45" s="24" t="s">
        <v>107</v>
      </c>
      <c r="U45" s="25"/>
      <c r="V45" s="87"/>
    </row>
    <row r="46" spans="1:22" x14ac:dyDescent="0.25">
      <c r="A46" s="86">
        <v>45</v>
      </c>
      <c r="B46" s="24" t="s">
        <v>266</v>
      </c>
      <c r="C46" s="24" t="s">
        <v>267</v>
      </c>
      <c r="D46" s="24" t="s">
        <v>268</v>
      </c>
      <c r="E46" s="27" t="s">
        <v>269</v>
      </c>
      <c r="F46" s="24" t="s">
        <v>270</v>
      </c>
      <c r="G46" s="24" t="s">
        <v>111</v>
      </c>
      <c r="H46" s="24" t="s">
        <v>49</v>
      </c>
      <c r="I46" s="24" t="s">
        <v>52</v>
      </c>
      <c r="J46" s="25">
        <v>0</v>
      </c>
      <c r="K46" s="25">
        <v>2</v>
      </c>
      <c r="L46" s="25">
        <v>15000</v>
      </c>
      <c r="M46" s="25"/>
      <c r="N46" s="25"/>
      <c r="O46" s="25"/>
      <c r="P46" s="25"/>
      <c r="Q46" s="25"/>
      <c r="R46" s="25">
        <v>31500</v>
      </c>
      <c r="S46" s="25"/>
      <c r="T46" s="24"/>
      <c r="U46" s="25"/>
      <c r="V46" s="87"/>
    </row>
    <row r="47" spans="1:22" x14ac:dyDescent="0.25">
      <c r="A47" s="86">
        <v>46</v>
      </c>
      <c r="B47" s="24" t="s">
        <v>271</v>
      </c>
      <c r="C47" s="24" t="s">
        <v>272</v>
      </c>
      <c r="D47" s="24" t="s">
        <v>273</v>
      </c>
      <c r="E47" s="27" t="s">
        <v>274</v>
      </c>
      <c r="F47" s="24" t="s">
        <v>152</v>
      </c>
      <c r="G47" s="24" t="s">
        <v>79</v>
      </c>
      <c r="H47" s="24" t="s">
        <v>49</v>
      </c>
      <c r="I47" s="24" t="s">
        <v>52</v>
      </c>
      <c r="J47" s="25">
        <v>1</v>
      </c>
      <c r="K47" s="25">
        <v>1</v>
      </c>
      <c r="L47" s="25"/>
      <c r="M47" s="25">
        <v>8</v>
      </c>
      <c r="N47" s="25">
        <v>5</v>
      </c>
      <c r="O47" s="25"/>
      <c r="P47" s="25">
        <v>4</v>
      </c>
      <c r="Q47" s="25"/>
      <c r="R47" s="25"/>
      <c r="S47" s="25"/>
      <c r="T47" s="24"/>
      <c r="U47" s="25">
        <v>15000</v>
      </c>
      <c r="V47" s="87"/>
    </row>
    <row r="48" spans="1:22" x14ac:dyDescent="0.25">
      <c r="A48" s="86">
        <v>47</v>
      </c>
      <c r="B48" s="24" t="s">
        <v>275</v>
      </c>
      <c r="C48" s="24" t="s">
        <v>276</v>
      </c>
      <c r="D48" s="24" t="s">
        <v>277</v>
      </c>
      <c r="E48" s="27" t="s">
        <v>278</v>
      </c>
      <c r="F48" s="24" t="s">
        <v>176</v>
      </c>
      <c r="G48" s="24" t="s">
        <v>79</v>
      </c>
      <c r="H48" s="24" t="s">
        <v>49</v>
      </c>
      <c r="I48" s="24" t="s">
        <v>52</v>
      </c>
      <c r="J48" s="25">
        <v>2</v>
      </c>
      <c r="K48" s="25">
        <v>5</v>
      </c>
      <c r="L48" s="25"/>
      <c r="M48" s="25">
        <v>8</v>
      </c>
      <c r="N48" s="25"/>
      <c r="O48" s="25">
        <v>3</v>
      </c>
      <c r="P48" s="25"/>
      <c r="Q48" s="25"/>
      <c r="R48" s="25">
        <v>25000</v>
      </c>
      <c r="S48" s="25"/>
      <c r="T48" s="24"/>
      <c r="U48" s="25"/>
      <c r="V48" s="87"/>
    </row>
    <row r="49" spans="1:22" x14ac:dyDescent="0.25">
      <c r="A49" s="86">
        <v>48</v>
      </c>
      <c r="B49" s="24" t="s">
        <v>279</v>
      </c>
      <c r="C49" s="24" t="s">
        <v>280</v>
      </c>
      <c r="D49" s="24" t="s">
        <v>277</v>
      </c>
      <c r="E49" s="27" t="s">
        <v>281</v>
      </c>
      <c r="F49" s="24" t="s">
        <v>197</v>
      </c>
      <c r="G49" s="24" t="s">
        <v>111</v>
      </c>
      <c r="H49" s="24" t="s">
        <v>49</v>
      </c>
      <c r="I49" s="24" t="s">
        <v>52</v>
      </c>
      <c r="J49" s="25">
        <v>0</v>
      </c>
      <c r="K49" s="25">
        <v>2</v>
      </c>
      <c r="L49" s="25">
        <v>9500</v>
      </c>
      <c r="M49" s="25"/>
      <c r="N49" s="25"/>
      <c r="O49" s="25"/>
      <c r="P49" s="25"/>
      <c r="Q49" s="25">
        <v>5000</v>
      </c>
      <c r="R49" s="25"/>
      <c r="S49" s="25">
        <v>25000</v>
      </c>
      <c r="T49" s="24" t="s">
        <v>118</v>
      </c>
      <c r="U49" s="25">
        <v>14500</v>
      </c>
      <c r="V49" s="87"/>
    </row>
    <row r="50" spans="1:22" x14ac:dyDescent="0.25">
      <c r="A50" s="86">
        <v>49</v>
      </c>
      <c r="B50" s="24" t="s">
        <v>282</v>
      </c>
      <c r="C50" s="24" t="s">
        <v>283</v>
      </c>
      <c r="D50" s="24" t="s">
        <v>284</v>
      </c>
      <c r="E50" s="27" t="s">
        <v>285</v>
      </c>
      <c r="F50" s="24" t="s">
        <v>78</v>
      </c>
      <c r="G50" s="24" t="s">
        <v>79</v>
      </c>
      <c r="H50" s="24" t="s">
        <v>49</v>
      </c>
      <c r="I50" s="24" t="s">
        <v>52</v>
      </c>
      <c r="J50" s="25">
        <v>2</v>
      </c>
      <c r="K50" s="25">
        <v>5</v>
      </c>
      <c r="L50" s="25"/>
      <c r="M50" s="25">
        <v>8</v>
      </c>
      <c r="N50" s="25"/>
      <c r="O50" s="25"/>
      <c r="P50" s="25"/>
      <c r="Q50" s="25"/>
      <c r="R50" s="25"/>
      <c r="S50" s="25"/>
      <c r="T50" s="24"/>
      <c r="U50" s="25"/>
      <c r="V50" s="87"/>
    </row>
    <row r="51" spans="1:22" x14ac:dyDescent="0.25">
      <c r="A51" s="88">
        <v>50</v>
      </c>
      <c r="B51" s="90" t="s">
        <v>286</v>
      </c>
      <c r="C51" s="90" t="s">
        <v>287</v>
      </c>
      <c r="D51" s="90" t="s">
        <v>288</v>
      </c>
      <c r="E51" s="89" t="s">
        <v>289</v>
      </c>
      <c r="F51" s="90" t="s">
        <v>173</v>
      </c>
      <c r="G51" s="90" t="s">
        <v>79</v>
      </c>
      <c r="H51" s="90" t="s">
        <v>49</v>
      </c>
      <c r="I51" s="90" t="s">
        <v>51</v>
      </c>
      <c r="J51" s="91">
        <v>0</v>
      </c>
      <c r="K51" s="91">
        <v>0</v>
      </c>
      <c r="L51" s="91"/>
      <c r="M51" s="91">
        <v>8</v>
      </c>
      <c r="N51" s="91">
        <v>2</v>
      </c>
      <c r="O51" s="91">
        <v>3</v>
      </c>
      <c r="P51" s="91"/>
      <c r="Q51" s="91">
        <v>7000</v>
      </c>
      <c r="R51" s="91"/>
      <c r="S51" s="91"/>
      <c r="T51" s="90" t="s">
        <v>118</v>
      </c>
      <c r="U51" s="91">
        <v>13500</v>
      </c>
      <c r="V51" s="92"/>
    </row>
  </sheetData>
  <conditionalFormatting sqref="H2:H51">
    <cfRule type="containsText" dxfId="33" priority="5" operator="containsText" text="C">
      <formula>NOT(ISERROR(SEARCH("C",H2)))</formula>
    </cfRule>
    <cfRule type="containsText" dxfId="32" priority="6" operator="containsText" text="B">
      <formula>NOT(ISERROR(SEARCH("B",H2)))</formula>
    </cfRule>
    <cfRule type="containsText" dxfId="31" priority="7" operator="containsText" text="A">
      <formula>NOT(ISERROR(SEARCH("A",H2)))</formula>
    </cfRule>
  </conditionalFormatting>
  <conditionalFormatting sqref="G2:G51">
    <cfRule type="containsText" dxfId="30" priority="3" operator="containsText" text="F">
      <formula>NOT(ISERROR(SEARCH("F",G2)))</formula>
    </cfRule>
    <cfRule type="containsText" dxfId="29" priority="4" operator="containsText" text="M">
      <formula>NOT(ISERROR(SEARCH("M",G2)))</formula>
    </cfRule>
  </conditionalFormatting>
  <conditionalFormatting sqref="I2:I51">
    <cfRule type="containsText" dxfId="28" priority="1" operator="containsText" text="Célibataire">
      <formula>NOT(ISERROR(SEARCH("Célibataire",I2)))</formula>
    </cfRule>
    <cfRule type="containsText" dxfId="27" priority="2" operator="containsText" text="Marié(e)">
      <formula>NOT(ISERROR(SEARCH("Marié(e)",I2)))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autoPict="0" r:id="rId5">
            <anchor moveWithCells="1">
              <from>
                <xdr:col>22</xdr:col>
                <xdr:colOff>352425</xdr:colOff>
                <xdr:row>1</xdr:row>
                <xdr:rowOff>95250</xdr:rowOff>
              </from>
              <to>
                <xdr:col>24</xdr:col>
                <xdr:colOff>857250</xdr:colOff>
                <xdr:row>3</xdr:row>
                <xdr:rowOff>190500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22</xdr:col>
                <xdr:colOff>342900</xdr:colOff>
                <xdr:row>6</xdr:row>
                <xdr:rowOff>66675</xdr:rowOff>
              </from>
              <to>
                <xdr:col>25</xdr:col>
                <xdr:colOff>38100</xdr:colOff>
                <xdr:row>8</xdr:row>
                <xdr:rowOff>180975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7" r:id="rId8" name="CommandButton3">
          <controlPr defaultSize="0" autoLine="0" r:id="rId9">
            <anchor moveWithCells="1">
              <from>
                <xdr:col>22</xdr:col>
                <xdr:colOff>371475</xdr:colOff>
                <xdr:row>10</xdr:row>
                <xdr:rowOff>95250</xdr:rowOff>
              </from>
              <to>
                <xdr:col>25</xdr:col>
                <xdr:colOff>38100</xdr:colOff>
                <xdr:row>13</xdr:row>
                <xdr:rowOff>0</xdr:rowOff>
              </to>
            </anchor>
          </controlPr>
        </control>
      </mc:Choice>
      <mc:Fallback>
        <control shapeId="11267" r:id="rId8" name="CommandButton3"/>
      </mc:Fallback>
    </mc:AlternateContent>
  </controls>
  <tableParts count="1"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Menu</vt:lpstr>
      <vt:lpstr>Livre de paie</vt:lpstr>
      <vt:lpstr>Ecritures comptables</vt:lpstr>
      <vt:lpstr>Bulletin de salaire</vt:lpstr>
      <vt:lpstr>Sexe</vt:lpstr>
      <vt:lpstr>Categorie</vt:lpstr>
      <vt:lpstr>Etat</vt:lpstr>
      <vt:lpstr>Regime</vt:lpstr>
      <vt:lpstr>Tableau de bords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AWA WADE</dc:creator>
  <cp:lastModifiedBy>AWA WADE</cp:lastModifiedBy>
  <cp:lastPrinted>2020-05-30T08:17:46Z</cp:lastPrinted>
  <dcterms:created xsi:type="dcterms:W3CDTF">2020-05-19T01:09:17Z</dcterms:created>
  <dcterms:modified xsi:type="dcterms:W3CDTF">2020-06-01T03:52:45Z</dcterms:modified>
</cp:coreProperties>
</file>